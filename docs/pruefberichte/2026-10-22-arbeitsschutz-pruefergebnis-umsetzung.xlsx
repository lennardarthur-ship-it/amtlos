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inweise" sheetId="1" state="visible" r:id="rId1"/>
    <sheet xmlns:r="http://schemas.openxmlformats.org/officeDocument/2006/relationships" name="Übersicht" sheetId="2" state="visible" r:id="rId2"/>
    <sheet xmlns:r="http://schemas.openxmlformats.org/officeDocument/2006/relationships" name="A Bausteine" sheetId="3" state="visible" r:id="rId3"/>
    <sheet xmlns:r="http://schemas.openxmlformats.org/officeDocument/2006/relationships" name="A Fehlende Bausteine" sheetId="4" state="visible" r:id="rId4"/>
    <sheet xmlns:r="http://schemas.openxmlformats.org/officeDocument/2006/relationships" name="A Kennzahlen" sheetId="5" state="visible" r:id="rId5"/>
    <sheet xmlns:r="http://schemas.openxmlformats.org/officeDocument/2006/relationships" name="B Vorlagen" sheetId="6" state="visible" r:id="rId6"/>
    <sheet xmlns:r="http://schemas.openxmlformats.org/officeDocument/2006/relationships" name="C Katalog" sheetId="7" state="visible" r:id="rId7"/>
    <sheet xmlns:r="http://schemas.openxmlformats.org/officeDocument/2006/relationships" name="C Fehlende Pflichten" sheetId="8" state="visible" r:id="rId8"/>
    <sheet xmlns:r="http://schemas.openxmlformats.org/officeDocument/2006/relationships" name="D Risikoskala" sheetId="9" state="visible" r:id="rId9"/>
    <sheet xmlns:r="http://schemas.openxmlformats.org/officeDocument/2006/relationships" name="Fragen 1-15" sheetId="10" state="visible" r:id="rId10"/>
    <sheet xmlns:r="http://schemas.openxmlformats.org/officeDocument/2006/relationships" name="Quellen" sheetId="11" state="visible" r:id="rId11"/>
  </sheets>
  <definedNames>
    <definedName name="_xlnm._FilterDatabase" localSheetId="2" hidden="1">'A Bausteine'!$A$1:$P$198</definedName>
    <definedName name="_xlnm._FilterDatabase" localSheetId="3" hidden="1">'A Fehlende Bausteine'!$A$1:$H$29</definedName>
    <definedName name="_xlnm._FilterDatabase" localSheetId="4" hidden="1">'A Kennzahlen'!$A$1:$E$29</definedName>
    <definedName name="_xlnm._FilterDatabase" localSheetId="5" hidden="1">'B Vorlagen'!$A$1:$F$19</definedName>
    <definedName name="_xlnm._FilterDatabase" localSheetId="6" hidden="1">'C Katalog'!$A$1:$M$29</definedName>
    <definedName name="_xlnm._FilterDatabase" localSheetId="7" hidden="1">'C Fehlende Pflichten'!$A$1:$D$13</definedName>
    <definedName name="_xlnm._FilterDatabase" localSheetId="8" hidden="1">'D Risikoskala'!$A$1:$B$8</definedName>
    <definedName name="_xlnm._FilterDatabase" localSheetId="9" hidden="1">'Fragen 1-15'!$A$1:$E$16</definedName>
    <definedName name="_xlnm._FilterDatabase" localSheetId="10" hidden="1">'Quellen'!$A$1:$B$17</definedName>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sz val="10"/>
    </font>
    <font>
      <name val="Arial"/>
      <charset val="1"/>
      <family val="0"/>
      <b val="1"/>
      <sz val="10"/>
    </font>
    <font>
      <name val="Arial"/>
      <charset val="1"/>
      <family val="0"/>
      <b val="1"/>
      <color rgb="FFFFFFFF"/>
      <sz val="11"/>
    </font>
    <font>
      <name val="Arial"/>
      <charset val="1"/>
      <family val="0"/>
      <b val="1"/>
      <sz val="11"/>
    </font>
    <font>
      <name val="Arial"/>
      <charset val="1"/>
      <family val="0"/>
      <b val="1"/>
      <color rgb="FFFFFFFF"/>
      <sz val="10"/>
    </font>
    <font>
      <name val="Arial"/>
      <charset val="1"/>
      <family val="0"/>
      <sz val="9"/>
    </font>
    <font>
      <name val="Arial"/>
      <charset val="1"/>
      <family val="0"/>
      <sz val="11"/>
    </font>
    <font>
      <name val="Arial"/>
      <charset val="1"/>
      <family val="0"/>
      <color rgb="FF0563C1"/>
      <sz val="9"/>
      <u val="single"/>
    </font>
  </fonts>
  <fills count="6">
    <fill>
      <patternFill/>
    </fill>
    <fill>
      <patternFill patternType="gray125"/>
    </fill>
    <fill>
      <patternFill patternType="solid">
        <fgColor rgb="FF1F3A5F"/>
        <bgColor rgb="FF333333"/>
      </patternFill>
    </fill>
    <fill>
      <patternFill patternType="solid">
        <fgColor rgb="FFFFF2CC"/>
        <bgColor rgb="FFFCE5CD"/>
      </patternFill>
    </fill>
    <fill>
      <patternFill patternType="solid">
        <fgColor rgb="FFD9EAD3"/>
        <bgColor rgb="FFCFE2F3"/>
      </patternFill>
    </fill>
    <fill>
      <patternFill patternType="solid">
        <fgColor rgb="FFF4CCCC"/>
        <bgColor rgb="FFFCE5C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4">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4" fillId="0" borderId="0" applyAlignment="1" pivotButton="0" quotePrefix="0" xfId="0">
      <alignment horizontal="general" vertical="bottom"/>
    </xf>
    <xf numFmtId="0" fontId="7" fillId="2" borderId="0" applyAlignment="1" pivotButton="0" quotePrefix="0" xfId="0">
      <alignment horizontal="general" vertical="bottom"/>
    </xf>
    <xf numFmtId="0" fontId="5"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0" applyAlignment="1" pivotButton="0" quotePrefix="0" xfId="0">
      <alignment horizontal="general" vertical="center" wrapText="1"/>
    </xf>
    <xf numFmtId="0" fontId="10" fillId="0" borderId="1" applyAlignment="1" pivotButton="0" quotePrefix="0" xfId="0">
      <alignment horizontal="general" vertical="top" wrapText="1"/>
    </xf>
    <xf numFmtId="0" fontId="10" fillId="3" borderId="1" applyAlignment="1" pivotButton="0" quotePrefix="0" xfId="0">
      <alignment horizontal="general" vertical="top" wrapText="1"/>
    </xf>
    <xf numFmtId="0" fontId="8" fillId="0" borderId="1" applyAlignment="1" pivotButton="0" quotePrefix="0" xfId="0">
      <alignment horizontal="general" vertical="bottom"/>
    </xf>
    <xf numFmtId="0" fontId="11" fillId="4" borderId="1" applyAlignment="1" pivotButton="0" quotePrefix="0" xfId="0">
      <alignment horizontal="general" vertical="bottom"/>
    </xf>
    <xf numFmtId="0" fontId="11" fillId="3" borderId="1" applyAlignment="1" pivotButton="0" quotePrefix="0" xfId="0">
      <alignment horizontal="general" vertical="bottom"/>
    </xf>
    <xf numFmtId="0" fontId="11" fillId="5" borderId="1" applyAlignment="1" pivotButton="0" quotePrefix="0" xfId="0">
      <alignment horizontal="general" vertical="bottom"/>
    </xf>
    <xf numFmtId="0" fontId="12"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4" fillId="0" borderId="0" applyAlignment="1" pivotButton="0" quotePrefix="0" xfId="0">
      <alignment horizontal="general" vertical="bottom"/>
    </xf>
    <xf numFmtId="0" fontId="7" fillId="2" borderId="0" applyAlignment="1" pivotButton="0" quotePrefix="0" xfId="0">
      <alignment horizontal="general" vertical="bottom"/>
    </xf>
    <xf numFmtId="0" fontId="5"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0" applyAlignment="1" pivotButton="0" quotePrefix="0" xfId="0">
      <alignment horizontal="general" vertical="center" wrapText="1"/>
    </xf>
    <xf numFmtId="0" fontId="10" fillId="0" borderId="1" applyAlignment="1" pivotButton="0" quotePrefix="0" xfId="0">
      <alignment horizontal="general" vertical="top" wrapText="1"/>
    </xf>
    <xf numFmtId="0" fontId="10" fillId="3" borderId="1" applyAlignment="1" pivotButton="0" quotePrefix="0" xfId="0">
      <alignment horizontal="general" vertical="top" wrapText="1"/>
    </xf>
    <xf numFmtId="0" fontId="8" fillId="0" borderId="1" applyAlignment="1" pivotButton="0" quotePrefix="0" xfId="0">
      <alignment horizontal="general" vertical="bottom"/>
    </xf>
    <xf numFmtId="0" fontId="11" fillId="4" borderId="1" applyAlignment="1" pivotButton="0" quotePrefix="0" xfId="0">
      <alignment horizontal="general" vertical="bottom"/>
    </xf>
    <xf numFmtId="0" fontId="11" fillId="3" borderId="1" applyAlignment="1" pivotButton="0" quotePrefix="0" xfId="0">
      <alignment horizontal="general" vertical="bottom"/>
    </xf>
    <xf numFmtId="0" fontId="11" fillId="5" borderId="1" applyAlignment="1" pivotButton="0" quotePrefix="0" xfId="0">
      <alignment horizontal="general" vertical="bottom"/>
    </xf>
    <xf numFmtId="0" fontId="12" fillId="0" borderId="1" applyAlignment="1" pivotButton="0" quotePrefix="0" xfId="0">
      <alignment horizontal="general" vertical="top" wrapText="1"/>
    </xf>
    <xf numFmtId="0" fontId="9" fillId="2"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FFF2CC"/>
          <bgColor rgb="FF000000"/>
        </patternFill>
      </fill>
    </dxf>
    <dxf>
      <fill>
        <patternFill>
          <bgColor rgb="FFD9EAD3"/>
        </patternFill>
      </fill>
    </dxf>
    <dxf>
      <fill>
        <patternFill>
          <bgColor rgb="FFFCE5CD"/>
        </patternFill>
      </fill>
    </dxf>
    <dxf>
      <fill>
        <patternFill>
          <bgColor rgb="FFF4CCCC"/>
        </patternFill>
      </fill>
    </dxf>
    <dxf>
      <fill>
        <patternFill>
          <bgColor rgb="FFCFE2F3"/>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CFE2F3"/>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1.xml.rels><Relationships xmlns="http://schemas.openxmlformats.org/package/2006/relationships"><Relationship Type="http://schemas.openxmlformats.org/officeDocument/2006/relationships/hyperlink" Target="https://vorschriften.bgn-branchenwissen.de/daten/tr/trgs530/5.htm" TargetMode="External" Id="rId1"/><Relationship Type="http://schemas.openxmlformats.org/officeDocument/2006/relationships/hyperlink" Target="https://www.dinmedia.de/en/standard/din-en-iso-374-6/395160443" TargetMode="External" Id="rId2"/><Relationship Type="http://schemas.openxmlformats.org/officeDocument/2006/relationships/hyperlink" Target="https://vorschriften.bgn-branchenwissen.de/daten/tr/asr_a3_4/anh3.htm" TargetMode="External" Id="rId3"/><Relationship Type="http://schemas.openxmlformats.org/officeDocument/2006/relationships/hyperlink" Target="https://lxgesetze.de/arbmedvv/AN" TargetMode="External" Id="rId4"/><Relationship Type="http://schemas.openxmlformats.org/officeDocument/2006/relationships/hyperlink" Target="https://vorschriften.bgn-branchenwissen.de/daten/gv/sgb7/209.htm" TargetMode="External" Id="rId5"/><Relationship Type="http://schemas.openxmlformats.org/officeDocument/2006/relationships/hyperlink" Target="https://vorschriften.bgn-branchenwissen.de/daten/asi/a2_15/4.htm" TargetMode="External" Id="rId6"/><Relationship Type="http://schemas.openxmlformats.org/officeDocument/2006/relationships/hyperlink" Target="https://vorschriften.bgn-branchenwissen.de/daten/asi/a4_40/3.htm" TargetMode="External" Id="rId7"/><Relationship Type="http://schemas.openxmlformats.org/officeDocument/2006/relationships/hyperlink" Target="https://vorschriften.bgn-branchenwissen.de/daten/tr/trgs555/3.htm" TargetMode="External" Id="rId8"/><Relationship Type="http://schemas.openxmlformats.org/officeDocument/2006/relationships/hyperlink" Target="https://lxgesetze.de/gefstoffv/14" TargetMode="External" Id="rId9"/><Relationship Type="http://schemas.openxmlformats.org/officeDocument/2006/relationships/hyperlink" Target="https://www.bgn.de/praevention-arbeitshilfen/unsere-leistungen/arbeitsmedizinische-und-sicherheitstechnische-betreuung/unternehmermodell/Update_DGUV_Vorschrift2_Unternehmermodell.pdf" TargetMode="External" Id="rId10"/><Relationship Type="http://schemas.openxmlformats.org/officeDocument/2006/relationships/hyperlink" Target="https://presse.dguv.de/medien/fb-etem/documents/rcd_1.pdf" TargetMode="External" Id="rId11"/><Relationship Type="http://schemas.openxmlformats.org/officeDocument/2006/relationships/hyperlink" Target="https://www.komnet.nrw.de/_sitetools/dialog/24456" TargetMode="External" Id="rId12"/><Relationship Type="http://schemas.openxmlformats.org/officeDocument/2006/relationships/hyperlink" Target="https://www.komnet.nrw.de/_sitetools/dialog/43317" TargetMode="External" Id="rId13"/><Relationship Type="http://schemas.openxmlformats.org/officeDocument/2006/relationships/hyperlink" Target="https://dserver.bundestag.de/brd/2025/0735-25.pdf" TargetMode="External" Id="rId14"/><Relationship Type="http://schemas.openxmlformats.org/officeDocument/2006/relationships/hyperlink" Target="https://www.hwk-cottbus.de/artikel/bundestag-erhoeht-schwellenwert-fuer-sicherheitsbeauftragte-7,0,10305.html" TargetMode="External" Id="rId15"/><Relationship Type="http://schemas.openxmlformats.org/officeDocument/2006/relationships/hyperlink" Target="https://www.haufe.de/id/beitrag/novellierung-der-gefahrstoffverordnung-fokus-krebserz-11-10a-expositionsverzeichnis-auch-fuer-reproduktionstoxische-stoffe-kat-1a-oder-1b-HI16494225.html" TargetMode="External" Id="rId16"/></Relationships>
</file>

<file path=xl/worksheets/sheet1.xml><?xml version="1.0" encoding="utf-8"?>
<worksheet xmlns="http://schemas.openxmlformats.org/spreadsheetml/2006/main">
  <sheetPr filterMode="0">
    <outlinePr summaryBelow="1" summaryRight="1"/>
    <pageSetUpPr fitToPage="0"/>
  </sheetPr>
  <dimension ref="A1:A3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0" customWidth="1" style="16" min="1" max="1"/>
  </cols>
  <sheetData>
    <row r="1" ht="15" customHeight="1" s="17">
      <c r="A1" s="18" t="inlineStr">
        <is>
          <t>Betriebsklar – Ergebnis der fachlichen Durchsicht Arbeitsschutz (Prüfmappe Stand Oktober 2026)</t>
        </is>
      </c>
    </row>
    <row r="2" ht="15" customHeight="1" s="17">
      <c r="A2" s="19" t="inlineStr">
        <is>
          <t>Geprüft von: [Name], Fachkraft für Arbeitssicherheit · Stand: 22.10.2026 · Auftraggeber: Lang Ventures UG (haftungsbeschränkt) i. G., Reutlingen</t>
        </is>
      </c>
    </row>
    <row r="3" ht="35.05" customHeight="1" s="17">
      <c r="A3" s="19" t="inlineStr">
        <is>
          <t>Grenzen der Durchsicht: Die Bewertung bezieht sich auf die fachlichen Inhalte der Prüfmappe zum genannten Stand. Sie ersetzt nicht die sicherheitstechnische und betriebsärztliche Betreuung der einzelnen Betriebe nach ASiG/DGUV Vorschrift 2. Arbeitsmedizinische Punkte (Frage 15, B-105) bestätigt ein Betriebsarzt, Grenzwerte im Prüfprotokoll Elektro eine Elektrofachkraft. Bei Änderungen an Bausteinen oder am Regelwerk ist eine erneute Prüfung nötig.</t>
        </is>
      </c>
    </row>
    <row r="4" ht="15" customHeight="1" s="17">
      <c r="A4" s="19" t="n"/>
    </row>
    <row r="5" ht="15" customHeight="1" s="17">
      <c r="A5" s="20" t="inlineStr">
        <is>
          <t>Aufbau</t>
        </is>
      </c>
    </row>
    <row r="6" ht="15" customHeight="1" s="17">
      <c r="A6" s="19" t="inlineStr">
        <is>
          <t>Übersicht – Zählung der Ergebnisse (Formeln).</t>
        </is>
      </c>
    </row>
    <row r="7" ht="23.85" customHeight="1" s="17">
      <c r="A7" s="19" t="inlineStr">
        <is>
          <t>A Bausteine – alle 197 Bausteine aus bausteine.csv mit Ergebnis, Korrektur, Fundstelle, Begründung, Prüfstand. Gelbe Spalten: zur Dokumentation der Umsetzung durch den Anbieter.</t>
        </is>
      </c>
    </row>
    <row r="8" ht="15" customHeight="1" s="17">
      <c r="A8" s="19" t="inlineStr">
        <is>
          <t>A Fehlende Bausteine – Vorschläge für Gefährdungen, die je Branche fehlen (Frage 1, 5, 6).</t>
        </is>
      </c>
    </row>
    <row r="9" ht="15" customHeight="1" s="17">
      <c r="A9" s="19" t="inlineStr">
        <is>
          <t>A Kennzahlen – alle Grenz- und Richtwerte mit Fundstelle und Prüfstand (Frage 3).</t>
        </is>
      </c>
    </row>
    <row r="10" ht="15" customHeight="1" s="17">
      <c r="A10" s="19" t="inlineStr">
        <is>
          <t>B Vorlagen – Befunde zu den sechs Vorlagen (Fragen 7–11).</t>
        </is>
      </c>
    </row>
    <row r="11" ht="15" customHeight="1" s="17">
      <c r="A11" s="19" t="inlineStr">
        <is>
          <t>C Katalog – 28 Katalogeinträge mit Ergebnis zu Auslöser, Frist, Sanktion (Fragen 12, 13).</t>
        </is>
      </c>
    </row>
    <row r="12" ht="15" customHeight="1" s="17">
      <c r="A12" s="19" t="inlineStr">
        <is>
          <t>C Fehlende Pflichten – Pflichten, die im Arbeitsschutz-Katalog fehlen.</t>
        </is>
      </c>
    </row>
    <row r="13" ht="15" customHeight="1" s="17">
      <c r="A13" s="19" t="inlineStr">
        <is>
          <t>D Risikoskala – Bewertung und Vorschlag (Frage 14).</t>
        </is>
      </c>
    </row>
    <row r="14" ht="15" customHeight="1" s="17">
      <c r="A14" s="19" t="inlineStr">
        <is>
          <t>Fragen 1-15 – Kurzantworten auf die 15 Fragen der Prüfmappe, mit Verweis auf die Blätter.</t>
        </is>
      </c>
    </row>
    <row r="15" ht="15" customHeight="1" s="17">
      <c r="A15" s="19" t="inlineStr">
        <is>
          <t>Quellen – in der Durchsicht eingesehene Fundstellen.</t>
        </is>
      </c>
    </row>
    <row r="16" ht="15" customHeight="1" s="17">
      <c r="A16" s="19" t="n"/>
    </row>
    <row r="17" ht="15" customHeight="1" s="17">
      <c r="A17" s="20" t="inlineStr">
        <is>
          <t>Legende Ergebnis</t>
        </is>
      </c>
    </row>
    <row r="18" ht="23.85" customHeight="1" s="17">
      <c r="A18" s="19" t="inlineStr">
        <is>
          <t>frei = fachlich in Ordnung, kann übernommen werden · ändern = Inhalt anpassen (Text in Spalte „Korrektur“) · ändern (Quelle) = Inhalt in Ordnung, Fundstelle ersetzen · streichen = entfernen · ergänzen = neuer Baustein/neue Pflicht</t>
        </is>
      </c>
    </row>
    <row r="19" ht="15" customHeight="1" s="17">
      <c r="A19" s="20" t="inlineStr">
        <is>
          <t>Legende Prüfstand</t>
        </is>
      </c>
    </row>
    <row r="20" ht="23.85" customHeight="1" s="17">
      <c r="A20" s="19" t="inlineStr">
        <is>
          <t>bestätigt = Wert/Fundstelle an Primär- oder BG-Quelle nachgelesen · plausibel = fachlich zutreffend; Paragrafen-/Abschnittsnummer bei Übernahme in die App im Wortlaut abgleichen · offen = belastbare Fachquelle fehlt bzw. Bestätigung durch Betriebsarzt/Elektrofachkraft erforderlich</t>
        </is>
      </c>
    </row>
    <row r="21" ht="15" customHeight="1" s="17">
      <c r="A21" s="19" t="inlineStr">
        <is>
          <t>Gelb hinterlegte Zellen = vom Anbieter auszufüllen (Umsetzung: umgesetzt / abweichend umgesetzt / offen).</t>
        </is>
      </c>
    </row>
    <row r="22" ht="15" customHeight="1" s="17">
      <c r="A22" s="19" t="n"/>
    </row>
    <row r="23" ht="15" customHeight="1" s="17">
      <c r="A23" s="20" t="inlineStr">
        <is>
          <t>Wichtigste Befunde</t>
        </is>
      </c>
    </row>
    <row r="24" ht="15" customHeight="1" s="17">
      <c r="A24" s="19" t="inlineStr">
        <is>
          <t>1. B-036 Fettbrand: Löschvermögen und Stufen (≤50 l, 50–100 l, &gt;100 l) falsch zusammengefasst – BGN ASI 2.15.</t>
        </is>
      </c>
    </row>
    <row r="25" ht="15" customHeight="1" s="17">
      <c r="A25" s="19" t="inlineStr">
        <is>
          <t>2. Risikoskala: „gering = unwahrscheinlich ODER leicht“ stuft seltene, aber schwere Gefährdungen (Stromschlag, Fettbrand) zu niedrig ein; Vorbelegung „mittel“ streichen.</t>
        </is>
      </c>
    </row>
    <row r="26" ht="15" customHeight="1" s="17">
      <c r="A26" s="19" t="inlineStr">
        <is>
          <t>3. Katalog Unfallanzeige: Auslöser muss Tod oder mehr als 3 Tage Arbeitsunfähigkeit sein (§ 193 Abs. 1 SGB VII); Sanktion bis 2.500 € (§ 209 Abs. 1 Nr. 9, Abs. 3) bestätigt.</t>
        </is>
      </c>
    </row>
    <row r="27" ht="15" customHeight="1" s="17">
      <c r="A27" s="19" t="inlineStr">
        <is>
          <t>4. Katalog Arbeitsmittelprüfung: Auslöser nur Handwerk/Bau/Reinigung – Leitern, Regale, Aufschnitt-, Knet-, Hebe- und Druckluftgeräte gibt es in fast allen Branchen.</t>
        </is>
      </c>
    </row>
    <row r="28" ht="15" customHeight="1" s="17">
      <c r="A28" s="19" t="inlineStr">
        <is>
          <t>5. Unterweisung Gefahrstoffe/Biostoffe: Unterschrift der Unterwiesenen vorgeschrieben (§ 14 Abs. 2 GefStoffV) – eingetippter Name genügt dort nicht.</t>
        </is>
      </c>
    </row>
    <row r="29" ht="15" customHeight="1" s="17">
      <c r="A29" s="19" t="inlineStr">
        <is>
          <t>6. Fehlende Vorlagen: Betriebsanweisung für Maschinen (§ 12 BetrSichV) und für Biostoffe; GB ohne Abschnitt Prüffristen der Arbeitsmittel (§ 3 Abs. 6 BetrSichV).</t>
        </is>
      </c>
    </row>
    <row r="30" ht="15" customHeight="1" s="17">
      <c r="A30" s="19" t="inlineStr">
        <is>
          <t>7. Gebäudereinigung (5 Bausteine) und Gastronomie (CO2-Schankanlagen, Gas) haben deutliche Lücken.</t>
        </is>
      </c>
    </row>
    <row r="31" ht="15" customHeight="1" s="17">
      <c r="A31" s="19" t="inlineStr">
        <is>
          <t>8. Krebserzeugende Tätigkeiten (Hartholzstaub, Dieselmotoremissionen): Expositionsverzeichnis nach § 10a GefStoffV n. F. fehlt.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6" min="1" max="1"/>
    <col width="24" customWidth="1" style="16" min="2" max="4"/>
  </cols>
  <sheetData>
    <row r="1" ht="15" customHeight="1" s="17">
      <c r="A1" s="21" t="inlineStr">
        <is>
          <t>Übersicht der Ergebnisse</t>
        </is>
      </c>
    </row>
    <row r="3" ht="15" customHeight="1" s="17">
      <c r="A3" s="22" t="inlineStr">
        <is>
          <t>Ergebnis</t>
        </is>
      </c>
      <c r="B3" s="22" t="inlineStr">
        <is>
          <t>Bausteine</t>
        </is>
      </c>
      <c r="C3" s="22" t="inlineStr">
        <is>
          <t>Katalog</t>
        </is>
      </c>
    </row>
    <row r="4" ht="15" customHeight="1" s="17">
      <c r="A4" s="23" t="inlineStr">
        <is>
          <t>frei</t>
        </is>
      </c>
      <c r="B4" s="23">
        <f>COUNTIF('A Bausteine'!$J$2:$J$198,"frei*")</f>
        <v/>
      </c>
      <c r="C4" s="23">
        <f>COUNTIF('C Katalog'!$I$2:$I$29,"frei*")</f>
        <v/>
      </c>
    </row>
    <row r="5" ht="15" customHeight="1" s="17">
      <c r="A5" s="23" t="inlineStr">
        <is>
          <t>ändern</t>
        </is>
      </c>
      <c r="B5" s="23">
        <f>COUNTIF('A Bausteine'!$J$2:$J$198,"ändern*")</f>
        <v/>
      </c>
      <c r="C5" s="23">
        <f>COUNTIF('C Katalog'!$I$2:$I$29,"ändern*")</f>
        <v/>
      </c>
    </row>
    <row r="6" ht="15" customHeight="1" s="17">
      <c r="A6" s="23" t="inlineStr">
        <is>
          <t>streichen</t>
        </is>
      </c>
      <c r="B6" s="23">
        <f>COUNTIF('A Bausteine'!$J$2:$J$198,"streichen*")</f>
        <v/>
      </c>
      <c r="C6" s="23">
        <f>COUNTIF('C Katalog'!$I$2:$I$29,"streichen*")</f>
        <v/>
      </c>
    </row>
    <row r="7" ht="15" customHeight="1" s="17">
      <c r="A7" s="23" t="inlineStr">
        <is>
          <t>Summe</t>
        </is>
      </c>
      <c r="B7" s="23">
        <f>SUM(B4:B6)</f>
        <v/>
      </c>
      <c r="C7" s="23">
        <f>SUM(C4:C6)</f>
        <v/>
      </c>
    </row>
    <row r="8" ht="15" customHeight="1" s="17">
      <c r="A8" s="23" t="inlineStr">
        <is>
          <t>davon umgesetzt (Anbieter)</t>
        </is>
      </c>
      <c r="B8" s="23">
        <f>COUNTIF('A Bausteine'!$O$2:$O$198,"umgesetzt")+COUNTIF('A Bausteine'!$O$2:$O$198,"abweichend umgesetzt")</f>
        <v/>
      </c>
      <c r="C8" s="23" t="n"/>
    </row>
    <row r="9" ht="15" customHeight="1" s="17">
      <c r="A9" s="23" t="n"/>
      <c r="B9" s="23" t="n"/>
      <c r="C9" s="23" t="n"/>
    </row>
    <row r="10" ht="15" customHeight="1" s="17">
      <c r="A10" s="24" t="inlineStr">
        <is>
          <t>Bausteine nach Prüfstand</t>
        </is>
      </c>
      <c r="B10" s="23" t="n"/>
      <c r="C10" s="23" t="n"/>
    </row>
    <row r="11" ht="15" customHeight="1" s="17">
      <c r="A11" s="23" t="inlineStr">
        <is>
          <t>bestätigt</t>
        </is>
      </c>
      <c r="B11" s="23">
        <f>COUNTIF('A Bausteine'!$N$2:$N$198,"bestätigt")</f>
        <v/>
      </c>
      <c r="C11" s="23" t="n"/>
    </row>
    <row r="12" ht="15" customHeight="1" s="17">
      <c r="A12" s="23" t="inlineStr">
        <is>
          <t>plausibel</t>
        </is>
      </c>
      <c r="B12" s="23">
        <f>COUNTIF('A Bausteine'!$N$2:$N$198,"plausibel")</f>
        <v/>
      </c>
      <c r="C12" s="23" t="n"/>
    </row>
    <row r="13" ht="15" customHeight="1" s="17">
      <c r="A13" s="23" t="inlineStr">
        <is>
          <t>offen</t>
        </is>
      </c>
      <c r="B13" s="23">
        <f>COUNTIF('A Bausteine'!$N$2:$N$198,"offen")</f>
        <v/>
      </c>
      <c r="C13" s="23"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P198"/>
  <sheetViews>
    <sheetView showFormulas="0" showGridLines="1" showRowColHeaders="1" showZeros="1" rightToLeft="0" tabSelected="0" showOutlineSymbols="1" defaultGridColor="1"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8" customWidth="1" style="16" min="1" max="1"/>
    <col width="18" customWidth="1" style="16" min="2" max="2"/>
    <col width="16" customWidth="1" style="16" min="3" max="4"/>
    <col width="34" customWidth="1" style="16" min="5" max="5"/>
    <col width="50" customWidth="1" style="16" min="6" max="6"/>
    <col width="12" customWidth="1" style="16" min="7" max="7"/>
    <col width="22" customWidth="1" style="16" min="8" max="8"/>
    <col width="16" customWidth="1" style="16" min="9" max="9"/>
    <col width="14" customWidth="1" style="16" min="10" max="10"/>
    <col width="50" customWidth="1" style="16" min="11" max="11"/>
    <col width="36" customWidth="1" style="16" min="12" max="13"/>
    <col width="14" customWidth="1" style="16" min="14" max="14"/>
    <col width="16" customWidth="1" style="16" min="15" max="15"/>
    <col width="24" customWidth="1" style="16" min="16" max="16"/>
  </cols>
  <sheetData>
    <row r="1" ht="31.5" customHeight="1" s="17">
      <c r="A1" s="25" t="inlineStr">
        <is>
          <t>Nr</t>
        </is>
      </c>
      <c r="B1" s="25" t="inlineStr">
        <is>
          <t>Branchengruppe</t>
        </is>
      </c>
      <c r="C1" s="25" t="inlineStr">
        <is>
          <t>Vorlage</t>
        </is>
      </c>
      <c r="D1" s="25" t="inlineStr">
        <is>
          <t>Feld</t>
        </is>
      </c>
      <c r="E1" s="25" t="inlineStr">
        <is>
          <t>Baustein</t>
        </is>
      </c>
      <c r="F1" s="25" t="inlineStr">
        <is>
          <t>Inhalt (Maßnahmen)</t>
        </is>
      </c>
      <c r="G1" s="25" t="inlineStr">
        <is>
          <t>Kennzahlen</t>
        </is>
      </c>
      <c r="H1" s="25" t="inlineStr">
        <is>
          <t>Quelle bisher</t>
        </is>
      </c>
      <c r="I1" s="25" t="inlineStr">
        <is>
          <t>Markierung bisher</t>
        </is>
      </c>
      <c r="J1" s="25" t="inlineStr">
        <is>
          <t>Ergebnis</t>
        </is>
      </c>
      <c r="K1" s="25" t="inlineStr">
        <is>
          <t>Korrektur / neue Formulierung</t>
        </is>
      </c>
      <c r="L1" s="25" t="inlineStr">
        <is>
          <t>Fundstelle (bestätigt / vorgeschlagen)</t>
        </is>
      </c>
      <c r="M1" s="25" t="inlineStr">
        <is>
          <t>Begründung</t>
        </is>
      </c>
      <c r="N1" s="25" t="inlineStr">
        <is>
          <t>Prüfstand</t>
        </is>
      </c>
      <c r="O1" s="25" t="inlineStr">
        <is>
          <t>Umsetzung (Anbieter)</t>
        </is>
      </c>
      <c r="P1" s="25" t="inlineStr">
        <is>
          <t>Bemerkung Anbieter</t>
        </is>
      </c>
    </row>
    <row r="2" ht="64.15000000000001" customHeight="1" s="17">
      <c r="A2" s="26" t="inlineStr">
        <is>
          <t>B-001</t>
        </is>
      </c>
      <c r="B2" s="26" t="inlineStr">
        <is>
          <t>Alle Branchen (ohne Gruppe)</t>
        </is>
      </c>
      <c r="C2" s="26" t="inlineStr">
        <is>
          <t>Gefährdungsbeurteilung</t>
        </is>
      </c>
      <c r="D2" s="26" t="inlineStr">
        <is>
          <t>Mitgewirkt haben</t>
        </is>
      </c>
      <c r="E2" s="26" t="inlineStr">
        <is>
          <t>Betreuung im Unternehmermodell der Berufsgenossenschaft</t>
        </is>
      </c>
      <c r="F2" s="26" t="n"/>
      <c r="G2" s="26" t="n"/>
      <c r="H2" s="26" t="n"/>
      <c r="I2" s="26" t="inlineStr">
        <is>
          <t>ohne Quelle</t>
        </is>
      </c>
      <c r="J2" s="26" t="inlineStr">
        <is>
          <t>ändern</t>
        </is>
      </c>
      <c r="K2" s="26" t="inlineStr">
        <is>
          <t>Formulierung präzisieren: „Alternative bedarfsorientierte Betreuung (Unternehmermodell) der BG nach DGUV Vorschrift 2, Anlage 3 – Teilnahme an Motivations-/Informationsmaßnahmen am … ; anlassbezogene Betreuung durch …“. Zusätzlich Auswahl „Regelbetreuung nach DGUV V2 Anlage 1 durch (Name Sifa / Betriebsarzt / Dienst)“ anbieten.</t>
        </is>
      </c>
      <c r="L2" s="26" t="inlineStr">
        <is>
          <t>ASiG §§ 2, 5; DGUV Vorschrift 2 (der jeweiligen BG) Anlage 1 bzw. 3</t>
        </is>
      </c>
      <c r="M2" s="26" t="inlineStr">
        <is>
          <t>Heutiger Text sagt nicht, dass das Modell aktive Pflichten des Unternehmers (Schulung, anlassbezogene Betreuung) voraussetzt.</t>
        </is>
      </c>
      <c r="N2" s="26" t="inlineStr">
        <is>
          <t>plausibel</t>
        </is>
      </c>
      <c r="O2" s="27" t="inlineStr">
        <is>
          <t>umgesetzt</t>
        </is>
      </c>
      <c r="P2" s="27" t="inlineStr">
        <is>
          <t>Formulierung übernommen; zusätzliche Auswahl „Regelbetreuung nach DGUV Vorschrift 2, Anlage 1 durch …“; Hilfetext nennt die Pflichten im Unternehmermodell.</t>
        </is>
      </c>
    </row>
    <row r="3" ht="64.15000000000001" customHeight="1" s="17">
      <c r="A3" s="26" t="inlineStr">
        <is>
          <t>B-002</t>
        </is>
      </c>
      <c r="B3" s="26" t="inlineStr">
        <is>
          <t>Friseur</t>
        </is>
      </c>
      <c r="C3" s="26" t="inlineStr">
        <is>
          <t>Gefährdungsbeurteilung</t>
        </is>
      </c>
      <c r="D3" s="26" t="inlineStr">
        <is>
          <t>Gefährdungen</t>
        </is>
      </c>
      <c r="E3" s="26" t="inlineStr">
        <is>
          <t>Ausrutschen, Stolpern und Stürzen durch glatte Böden, Schmierfilme, Unebenheiten oder verrutschende Fußmatten.</t>
        </is>
      </c>
      <c r="F3" s="26" t="inlineStr">
        <is>
          <t>Faktor: Gestaltung und Einrichtung der Arbeitsstätte und des Arbeitsplatzes Maßnahmen: Rutschhemmenden, leicht zu reinigenden Bodenbelag verwenden (mindestens Bewertungsgruppe R 9). Fußmatten gegen Verrutschen sichern; Bodenschäden sofort beseitigen. Reinigungsmittel ohne Schmierfilm und sparsam einsetzen.</t>
        </is>
      </c>
      <c r="G3" s="26" t="inlineStr">
        <is>
          <t>R 9</t>
        </is>
      </c>
      <c r="H3" s="26" t="inlineStr">
        <is>
          <t>BGW</t>
        </is>
      </c>
      <c r="I3" s="26" t="inlineStr">
        <is>
          <t>Quelle genannt</t>
        </is>
      </c>
      <c r="J3" s="26" t="inlineStr">
        <is>
          <t>ändern (Quelle)</t>
        </is>
      </c>
      <c r="K3" s="26" t="n"/>
      <c r="L3" s="26" t="inlineStr">
        <is>
          <t>BGW-Branchenhilfe Friseur; ASR A1.5 Anhang 2 nennt Friseursalons nach dieser Durchsicht nicht ausdrücklich – Fundstelle der BGW mit Titel/Seite angeben</t>
        </is>
      </c>
      <c r="M3" s="26" t="inlineStr">
        <is>
          <t>R 9 als Mindestwert für Kundenbereich plausibel; Nassbereich Haarwäsche ggf. höher (GB).</t>
        </is>
      </c>
      <c r="N3" s="26" t="inlineStr">
        <is>
          <t>plausibel</t>
        </is>
      </c>
      <c r="O3" s="27" t="inlineStr">
        <is>
          <t>abweichend umgesetzt</t>
        </is>
      </c>
      <c r="P3" s="27" t="inlineStr">
        <is>
          <t>Quelle „BGW-Branchenhilfe Friseur“; Titel und Seite der BGW-Fundstelle noch nicht ergänzt (PRUEFLISTE T-151).</t>
        </is>
      </c>
    </row>
    <row r="4" ht="64.15000000000001" customHeight="1" s="17">
      <c r="A4" s="26" t="inlineStr">
        <is>
          <t>B-003</t>
        </is>
      </c>
      <c r="B4" s="26" t="inlineStr">
        <is>
          <t>Friseur</t>
        </is>
      </c>
      <c r="C4" s="26" t="inlineStr">
        <is>
          <t>Gefährdungsbeurteilung</t>
        </is>
      </c>
      <c r="D4" s="26" t="inlineStr">
        <is>
          <t>Gefährdungen</t>
        </is>
      </c>
      <c r="E4" s="26" t="inlineStr">
        <is>
          <t>Versperrte Verkehrs- und Fluchtwege, zu enge Bewegungsflächen, herumstehende bewegliche Geräte.</t>
        </is>
      </c>
      <c r="F4" s="26" t="inlineStr">
        <is>
          <t>Faktor: Gestaltung und Einrichtung der Arbeitsstätte und des Arbeitsplatzes Maßnahmen: Geeignete Abstellflächen für bewegliche Geräte (z. B. Climazone) schaffen; ausreichend Bewegungsfläche am Arbeitsplatz. Fluchtwege und Notausgänge dauerhaft frei halten und kennzeichnen; Flucht- und Rettungsplan erstellen.</t>
        </is>
      </c>
      <c r="G4" s="26" t="n"/>
      <c r="H4" s="26" t="inlineStr">
        <is>
          <t>BGW</t>
        </is>
      </c>
      <c r="I4" s="26" t="inlineStr">
        <is>
          <t>Quelle genannt</t>
        </is>
      </c>
      <c r="J4" s="26" t="inlineStr">
        <is>
          <t>frei</t>
        </is>
      </c>
      <c r="K4" s="26" t="n"/>
      <c r="L4" s="26" t="inlineStr">
        <is>
          <t>ASR A1.8, A2.3; BGW</t>
        </is>
      </c>
      <c r="M4" s="26" t="n"/>
      <c r="N4" s="26" t="inlineStr">
        <is>
          <t>plausibel</t>
        </is>
      </c>
      <c r="O4" s="27" t="inlineStr">
        <is>
          <t>umgesetzt</t>
        </is>
      </c>
      <c r="P4" s="27" t="inlineStr">
        <is>
          <t>Inhalt unverändert; Fundstelle der Durchsicht übernommen.</t>
        </is>
      </c>
    </row>
    <row r="5" ht="53.7" customHeight="1" s="17">
      <c r="A5" s="26" t="inlineStr">
        <is>
          <t>B-004</t>
        </is>
      </c>
      <c r="B5" s="26" t="inlineStr">
        <is>
          <t>Friseur</t>
        </is>
      </c>
      <c r="C5" s="26" t="inlineStr">
        <is>
          <t>Gefährdungsbeurteilung</t>
        </is>
      </c>
      <c r="D5" s="26" t="inlineStr">
        <is>
          <t>Gefährdungen</t>
        </is>
      </c>
      <c r="E5" s="26" t="inlineStr">
        <is>
          <t>Unzureichende Frischluftzufuhr, dadurch Belastung durch Dämpfe und Aerosole von Friseurchemikalien.</t>
        </is>
      </c>
      <c r="F5" s="26" t="inlineStr">
        <is>
          <t>Faktor: Gestaltung und Einrichtung der Arbeitsstätte und des Arbeitsplatzes Maßnahmen: Lüftung mit Richtwert 100 m³ Frischluft pro Stunde und Beschäftigtem sicherstellen, auch im Winter (Abluftventilatoren, RLT-Anlage oder Querlüftung). Haarspray nur in ausreichend belüfteten Räumen versprühen.</t>
        </is>
      </c>
      <c r="G5" s="26" t="inlineStr">
        <is>
          <t>100 m³</t>
        </is>
      </c>
      <c r="H5" s="26" t="inlineStr">
        <is>
          <t>TRGS 530</t>
        </is>
      </c>
      <c r="I5" s="26" t="inlineStr">
        <is>
          <t>Quelle genannt</t>
        </is>
      </c>
      <c r="J5" s="26" t="inlineStr">
        <is>
          <t>ändern (Quelle)</t>
        </is>
      </c>
      <c r="K5" s="26" t="inlineStr">
        <is>
          <t>„Richtwert 100 m³/h Frischluft je Mitarbeiter (sofern GB nichts anderes ergibt), ganzjährig wirksam.“</t>
        </is>
      </c>
      <c r="L5" s="26" t="inlineStr">
        <is>
          <t>TRGS 530 Nr. 5.2 Abs. 1</t>
        </is>
      </c>
      <c r="M5" s="26" t="inlineStr">
        <is>
          <t>Wert bestätigt („je Mitarbeiter“).</t>
        </is>
      </c>
      <c r="N5" s="26" t="inlineStr">
        <is>
          <t>bestätigt</t>
        </is>
      </c>
      <c r="O5" s="27" t="inlineStr">
        <is>
          <t>umgesetzt</t>
        </is>
      </c>
      <c r="P5" s="27" t="inlineStr">
        <is>
          <t>Nur Fundstelle ersetzt (Ergebnis „ändern (Quelle)“); Inhalt gleichbedeutend.</t>
        </is>
      </c>
    </row>
    <row r="6" ht="74.59999999999999" customHeight="1" s="17">
      <c r="A6" s="26" t="inlineStr">
        <is>
          <t>B-005</t>
        </is>
      </c>
      <c r="B6" s="26" t="inlineStr">
        <is>
          <t>Friseur</t>
        </is>
      </c>
      <c r="C6" s="26" t="inlineStr">
        <is>
          <t>Gefährdungsbeurteilung</t>
        </is>
      </c>
      <c r="D6" s="26" t="inlineStr">
        <is>
          <t>Gefährdungen</t>
        </is>
      </c>
      <c r="E6" s="26" t="inlineStr">
        <is>
          <t>Feuchtarbeit (Haare waschen, Arbeiten an feuchtem Haar, häufiges Händewaschen) als Hauptrisikofaktor für Handekzeme.</t>
        </is>
      </c>
      <c r="F6" s="26" t="inlineStr">
        <is>
          <t>Faktor: Physikalische, chemische und biologische Einwirkungen Maßnahmen: Unvermeidbare Feuchtarbeit auf mehrere Beschäftigte verteilen; hautbelastende und nicht belastende Tätigkeiten abwechseln. Feuchtarbeit möglichst unter 4 Stunden täglich halten, angestrebt unter 2 Stunden. Beim Haarewaschen langstulpige Einmalhandschuhe (Nitril oder Vinyl) tragen; Hautschutz- und Händehygieneplan anwenden.</t>
        </is>
      </c>
      <c r="G6" s="26" t="inlineStr">
        <is>
          <t>unter 4 Stunden; unter 2 Stunden</t>
        </is>
      </c>
      <c r="H6" s="26" t="inlineStr">
        <is>
          <t>BGW</t>
        </is>
      </c>
      <c r="I6" s="26" t="inlineStr">
        <is>
          <t>Quelle genannt</t>
        </is>
      </c>
      <c r="J6" s="26" t="inlineStr">
        <is>
          <t>ändern (Quelle)</t>
        </is>
      </c>
      <c r="K6" s="26" t="inlineStr">
        <is>
          <t>Satz ergänzen: „Feuchtarbeit &gt; 2 Std./Tag: Angebotsvorsorge; ≥ 4 Std./Tag: Pflichtvorsorge (ArbMedVV).“</t>
        </is>
      </c>
      <c r="L6" s="26" t="inlineStr">
        <is>
          <t>TRGS 530 Nr. 5.3 Abs. 2 (&lt; 4 Std., angestrebt &lt; 2 Std.); ArbMedVV Anhang Teil 1 Abs. 1 Nr. 2a, Abs. 2 Nr. 2e</t>
        </is>
      </c>
      <c r="M6" s="26" t="inlineStr">
        <is>
          <t>Werte bestätigt; Quelle ist TRGS 530, nicht nur BGW.</t>
        </is>
      </c>
      <c r="N6" s="26" t="inlineStr">
        <is>
          <t>bestätigt</t>
        </is>
      </c>
      <c r="O6" s="27" t="inlineStr">
        <is>
          <t>abweichend umgesetzt</t>
        </is>
      </c>
      <c r="P6" s="27" t="inlineStr">
        <is>
          <t>Fundstelle ersetzt und – über „ändern (Quelle)“ hinaus – der Satz zur Vorsorge (&gt; 2 / ≥ 4 Std.) ergänzt, weil Blatt „A Kennzahlen“ ihn diesem Baustein zuordnet.</t>
        </is>
      </c>
    </row>
    <row r="7" ht="85.05" customHeight="1" s="17">
      <c r="A7" s="26" t="inlineStr">
        <is>
          <t>B-006</t>
        </is>
      </c>
      <c r="B7" s="26" t="inlineStr">
        <is>
          <t>Friseur</t>
        </is>
      </c>
      <c r="C7" s="26" t="inlineStr">
        <is>
          <t>Gefährdungsbeurteilung</t>
        </is>
      </c>
      <c r="D7" s="26" t="inlineStr">
        <is>
          <t>Gefährdungen</t>
        </is>
      </c>
      <c r="E7" s="26" t="inlineStr">
        <is>
          <t>Hautkontakt mit Friseurchemikalien (Färbe-, Blondier-, Dauerwellmittel) kann zu Allergien und Hautreizungen führen.</t>
        </is>
      </c>
      <c r="F7" s="26" t="inlineStr">
        <is>
          <t>Faktor: Physikalische, chemische und biologische Einwirkungen Maßnahmen: Fertig portionierte Packungen bevorzugen; sorgfältig dosieren. Eigener Misch- und Umfüllplatz mit flüssigkeitsdichter, abwaschbarer Arbeitsfläche (entfällt bei geschlossenen Systemen). Mischen und Auftragen nur mit geeigneten Applikatoren. Beim Färben, Blondieren, Dauerwellen und Mischen Friseur-Einmalhandschuhe (DIN EN ISO 374-6) tragen und nach einmaligem Gebrauch entsorgen.</t>
        </is>
      </c>
      <c r="G7" s="26" t="n"/>
      <c r="H7" s="26" t="inlineStr">
        <is>
          <t>TRGS 530</t>
        </is>
      </c>
      <c r="I7" s="26" t="inlineStr">
        <is>
          <t>Quelle genannt</t>
        </is>
      </c>
      <c r="J7" s="26" t="inlineStr">
        <is>
          <t>frei</t>
        </is>
      </c>
      <c r="K7" s="26" t="inlineStr">
        <is>
          <t>Quelle ergänzen.</t>
        </is>
      </c>
      <c r="L7" s="26" t="inlineStr">
        <is>
          <t>TRGS 530 Nr. 5.2 Abs. 2, 5.4; DIN EN ISO 374-6:2025-11 (Schutzhandschuhe für Friseure)</t>
        </is>
      </c>
      <c r="M7" s="26" t="inlineStr">
        <is>
          <t>DIN EN ISO 374-6 existiert (Ausgabe 11/2025) – T-90 erledigt.</t>
        </is>
      </c>
      <c r="N7" s="26" t="inlineStr">
        <is>
          <t>bestätigt</t>
        </is>
      </c>
      <c r="O7" s="27" t="inlineStr">
        <is>
          <t>umgesetzt</t>
        </is>
      </c>
      <c r="P7" s="27" t="inlineStr">
        <is>
          <t>Inhalt unverändert; Fundstelle der Durchsicht übernommen. Hinweis „Quelle ergänzen.“ berücksichtigt.</t>
        </is>
      </c>
    </row>
    <row r="8" ht="43.25" customHeight="1" s="17">
      <c r="A8" s="26" t="inlineStr">
        <is>
          <t>B-007</t>
        </is>
      </c>
      <c r="B8" s="26" t="inlineStr">
        <is>
          <t>Friseur</t>
        </is>
      </c>
      <c r="C8" s="26" t="inlineStr">
        <is>
          <t>Gefährdungsbeurteilung</t>
        </is>
      </c>
      <c r="D8" s="26" t="inlineStr">
        <is>
          <t>Gefährdungen</t>
        </is>
      </c>
      <c r="E8" s="26" t="inlineStr">
        <is>
          <t>Einatmen von Stäuben (Blondiermittel), Dämpfen (Dauerwelle) und Sprühnebel (Haarspray) reizt die Atemwege.</t>
        </is>
      </c>
      <c r="F8" s="26" t="inlineStr">
        <is>
          <t>Faktor: Physikalische, chemische und biologische Einwirkungen Maßnahmen: Für ausreichende Lüftung sorgen. Sprühnebel, Stäube und Dämpfe nicht einatmen; nicht in Richtung Augen sprühen.</t>
        </is>
      </c>
      <c r="G8" s="26" t="n"/>
      <c r="H8" s="26" t="inlineStr">
        <is>
          <t>TRGS 530</t>
        </is>
      </c>
      <c r="I8" s="26" t="inlineStr">
        <is>
          <t>Quelle genannt</t>
        </is>
      </c>
      <c r="J8" s="26" t="inlineStr">
        <is>
          <t>frei</t>
        </is>
      </c>
      <c r="K8" s="26" t="n"/>
      <c r="L8" s="26" t="inlineStr">
        <is>
          <t>TRGS 530 Nr. 5.2, 5.3 Abs. 3</t>
        </is>
      </c>
      <c r="M8" s="26" t="n"/>
      <c r="N8" s="26" t="inlineStr">
        <is>
          <t>bestätigt</t>
        </is>
      </c>
      <c r="O8" s="27" t="inlineStr">
        <is>
          <t>umgesetzt</t>
        </is>
      </c>
      <c r="P8" s="27" t="inlineStr">
        <is>
          <t>Inhalt unverändert; Fundstelle der Durchsicht übernommen.</t>
        </is>
      </c>
    </row>
    <row r="9" ht="53.7" customHeight="1" s="17">
      <c r="A9" s="26" t="inlineStr">
        <is>
          <t>B-008</t>
        </is>
      </c>
      <c r="B9" s="26" t="inlineStr">
        <is>
          <t>Friseur</t>
        </is>
      </c>
      <c r="C9" s="26" t="inlineStr">
        <is>
          <t>Gefährdungsbeurteilung</t>
        </is>
      </c>
      <c r="D9" s="26" t="inlineStr">
        <is>
          <t>Gefährdungen</t>
        </is>
      </c>
      <c r="E9" s="26" t="inlineStr">
        <is>
          <t>Hautschäden durch Reinigungs- und Desinfektionsmittel.</t>
        </is>
      </c>
      <c r="F9" s="26" t="inlineStr">
        <is>
          <t>Faktor: Physikalische, chemische und biologische Einwirkungen Maßnahmen: Desinfektion im Wischverfahren statt Sprühen oder Vernebeln; Desinfektionsmittelbäder abdecken. Chemikalienbeständige Schutzhandschuhe (DIN EN ISO 374), ggf. mit längerem Schaft, bei Reinigung und Desinfektion tragen.</t>
        </is>
      </c>
      <c r="G9" s="26" t="n"/>
      <c r="H9" s="26" t="inlineStr">
        <is>
          <t>BGW</t>
        </is>
      </c>
      <c r="I9" s="26" t="inlineStr">
        <is>
          <t>Quelle genannt</t>
        </is>
      </c>
      <c r="J9" s="26" t="inlineStr">
        <is>
          <t>frei</t>
        </is>
      </c>
      <c r="K9" s="26" t="n"/>
      <c r="L9" s="26" t="inlineStr">
        <is>
          <t>BGW; TRGS 525/401</t>
        </is>
      </c>
      <c r="M9" s="26" t="n"/>
      <c r="N9" s="26" t="inlineStr">
        <is>
          <t>plausibel</t>
        </is>
      </c>
      <c r="O9" s="27" t="inlineStr">
        <is>
          <t>umgesetzt</t>
        </is>
      </c>
      <c r="P9" s="27" t="inlineStr">
        <is>
          <t>Inhalt unverändert; Fundstelle der Durchsicht übernommen.</t>
        </is>
      </c>
    </row>
    <row r="10" ht="74.59999999999999" customHeight="1" s="17">
      <c r="A10" s="26" t="inlineStr">
        <is>
          <t>B-009</t>
        </is>
      </c>
      <c r="B10" s="26" t="inlineStr">
        <is>
          <t>Friseur</t>
        </is>
      </c>
      <c r="C10" s="26" t="inlineStr">
        <is>
          <t>Gefährdungsbeurteilung</t>
        </is>
      </c>
      <c r="D10" s="26" t="inlineStr">
        <is>
          <t>Gefährdungen</t>
        </is>
      </c>
      <c r="E10" s="26" t="inlineStr">
        <is>
          <t>Brand- und Explosionsgefahr durch alkoholische Desinfektionsmittel, Spraydosen und entzündbare Flüssigkeiten.</t>
        </is>
      </c>
      <c r="F10" s="26" t="inlineStr">
        <is>
          <t>Faktor: Sonstige Gefährdungen Maßnahmen: Brennbare Flüssigkeiten nicht an Arbeitsplätzen, unter Treppen oder in Fluchtwegen lagern; am Arbeitsplatz höchstens den Tagesbedarf. Spraydosen nicht über 50 °C erwärmen, nicht in offene Flammen oder beim Rauchen sprühen. Feuerlöscher bereitstellen (bis 50 m² Grundfläche Schaumlöscher A/B mit 6 Löschmitteleinheiten), alle zwei Jahre prüfen lassen.</t>
        </is>
      </c>
      <c r="G10" s="26" t="inlineStr">
        <is>
          <t>über 50 °C; bis 50 m²; 6 Löschmitteleinheiten</t>
        </is>
      </c>
      <c r="H10" s="26" t="inlineStr">
        <is>
          <t>BGW</t>
        </is>
      </c>
      <c r="I10" s="26" t="inlineStr">
        <is>
          <t>Quelle genannt</t>
        </is>
      </c>
      <c r="J10" s="26" t="inlineStr">
        <is>
          <t>frei</t>
        </is>
      </c>
      <c r="K10" s="26" t="inlineStr">
        <is>
          <t>Löscher-Art als Beispiel kennzeichnen.</t>
        </is>
      </c>
      <c r="L10" s="26" t="inlineStr">
        <is>
          <t>ASR A2.2 Tab. 3 (bis 50 m²: 6 LE) und Nr. 5.4 (Prüfung spätestens alle 2 Jahre)</t>
        </is>
      </c>
      <c r="M10" s="26" t="n"/>
      <c r="N10" s="26" t="inlineStr">
        <is>
          <t>plausibel</t>
        </is>
      </c>
      <c r="O10" s="27" t="inlineStr">
        <is>
          <t>umgesetzt</t>
        </is>
      </c>
      <c r="P10" s="27" t="inlineStr">
        <is>
          <t>Löscherart als Beispiel gekennzeichnet; Fundstelle ASR A2.2; Unterpunkt „Brand und Explosion“.</t>
        </is>
      </c>
    </row>
    <row r="11" ht="74.59999999999999" customHeight="1" s="17">
      <c r="A11" s="26" t="inlineStr">
        <is>
          <t>B-010</t>
        </is>
      </c>
      <c r="B11" s="26" t="inlineStr">
        <is>
          <t>Friseur</t>
        </is>
      </c>
      <c r="C11" s="26" t="inlineStr">
        <is>
          <t>Gefährdungsbeurteilung</t>
        </is>
      </c>
      <c r="D11" s="26" t="inlineStr">
        <is>
          <t>Gefährdungen</t>
        </is>
      </c>
      <c r="E11" s="26" t="inlineStr">
        <is>
          <t>Absturz von Leitern oder Tritten, umkippende Regale, herabfallende Kartons.</t>
        </is>
      </c>
      <c r="F11" s="26" t="inlineStr">
        <is>
          <t>Faktor: Gestaltung, Auswahl und Einsatz von Arbeitsmitteln (Arbeitsstoffe, Maschinen, Geräte, Anlagen) und der Umgang damit Maßnahmen: Nur geeignete Aufstiegshilfen verwenden; schadhafte Leitern sofort aussortieren. Leitern im Bestands- und Wartungsplan erfassen und regelmäßig prüfen; Standsicherheit von Regalen regelmäßig prüfen. Schwere Lasten unten, leichte oben lagern.</t>
        </is>
      </c>
      <c r="G11" s="26" t="n"/>
      <c r="H11" s="26" t="inlineStr">
        <is>
          <t>BGW</t>
        </is>
      </c>
      <c r="I11" s="26" t="inlineStr">
        <is>
          <t>Quelle genannt</t>
        </is>
      </c>
      <c r="J11" s="26" t="inlineStr">
        <is>
          <t>frei</t>
        </is>
      </c>
      <c r="K11" s="26" t="n"/>
      <c r="L11" s="26" t="inlineStr">
        <is>
          <t>DGUV Information 208-016; § 14 BetrSichV</t>
        </is>
      </c>
      <c r="M11" s="26" t="n"/>
      <c r="N11" s="26" t="inlineStr">
        <is>
          <t>plausibel</t>
        </is>
      </c>
      <c r="O11" s="27" t="inlineStr">
        <is>
          <t>umgesetzt</t>
        </is>
      </c>
      <c r="P11" s="27" t="inlineStr">
        <is>
          <t>Inhalt unverändert; Fundstelle der Durchsicht übernommen.</t>
        </is>
      </c>
    </row>
    <row r="12" ht="64.15000000000001" customHeight="1" s="17">
      <c r="A12" s="26" t="inlineStr">
        <is>
          <t>B-011</t>
        </is>
      </c>
      <c r="B12" s="26" t="inlineStr">
        <is>
          <t>Friseur</t>
        </is>
      </c>
      <c r="C12" s="26" t="inlineStr">
        <is>
          <t>Gefährdungsbeurteilung</t>
        </is>
      </c>
      <c r="D12" s="26" t="inlineStr">
        <is>
          <t>Gefährdungen</t>
        </is>
      </c>
      <c r="E12" s="26" t="inlineStr">
        <is>
          <t>Elektrische Gefährdung durch nicht geprüfte oder beschädigte Elektrogeräte und Anlagen.</t>
        </is>
      </c>
      <c r="F12" s="26" t="inlineStr">
        <is>
          <t>Faktor: Gestaltung, Auswahl und Einsatz von Arbeitsmitteln (Arbeitsstoffe, Maschinen, Geräte, Anlagen) und der Umgang damit Maßnahmen: Alle Geräte und Anlagen in einem Bestands- und Wartungsplan erfassen und Prüftermine festlegen. Prüfungen termin- und fachgerecht durchführen lassen und Ergebnisse dokumentieren.</t>
        </is>
      </c>
      <c r="G12" s="26" t="n"/>
      <c r="H12" s="26" t="inlineStr">
        <is>
          <t>BGW</t>
        </is>
      </c>
      <c r="I12" s="26" t="inlineStr">
        <is>
          <t>Quelle genannt</t>
        </is>
      </c>
      <c r="J12" s="26" t="inlineStr">
        <is>
          <t>frei</t>
        </is>
      </c>
      <c r="K12" s="26" t="n"/>
      <c r="L12" s="26" t="inlineStr">
        <is>
          <t>DGUV Vorschrift 3; § 14 BetrSichV</t>
        </is>
      </c>
      <c r="M12" s="26" t="n"/>
      <c r="N12" s="26" t="inlineStr">
        <is>
          <t>plausibel</t>
        </is>
      </c>
      <c r="O12" s="27" t="inlineStr">
        <is>
          <t>umgesetzt</t>
        </is>
      </c>
      <c r="P12" s="27" t="inlineStr">
        <is>
          <t>Inhalt unverändert; Fundstelle der Durchsicht übernommen.</t>
        </is>
      </c>
    </row>
    <row r="13" ht="53.7" customHeight="1" s="17">
      <c r="A13" s="26" t="inlineStr">
        <is>
          <t>B-012</t>
        </is>
      </c>
      <c r="B13" s="26" t="inlineStr">
        <is>
          <t>Friseur</t>
        </is>
      </c>
      <c r="C13" s="26" t="inlineStr">
        <is>
          <t>Gefährdungsbeurteilung</t>
        </is>
      </c>
      <c r="D13" s="26" t="inlineStr">
        <is>
          <t>Gefährdungen</t>
        </is>
      </c>
      <c r="E13" s="26" t="inlineStr">
        <is>
          <t>Ungünstige Körperhaltung und langes Stehen bei der Arbeit am Kunden.</t>
        </is>
      </c>
      <c r="F13" s="26" t="inlineStr">
        <is>
          <t>Faktor: Gestaltung von Arbeits- und Fertigungsverfahren, Arbeitsabläufen und Arbeitszeit und deren Zusammenwirken Maßnahmen: Frisierstühle und Haarwaschbecken individuell und einfach einstellbar ausführen. Sitzhocker für Beschäftigte bereitstellen.</t>
        </is>
      </c>
      <c r="G13" s="26" t="n"/>
      <c r="H13" s="26" t="inlineStr">
        <is>
          <t>BGW</t>
        </is>
      </c>
      <c r="I13" s="26" t="inlineStr">
        <is>
          <t>Quelle genannt</t>
        </is>
      </c>
      <c r="J13" s="26" t="inlineStr">
        <is>
          <t>frei</t>
        </is>
      </c>
      <c r="K13" s="26" t="n"/>
      <c r="L13" s="26" t="inlineStr">
        <is>
          <t>BGW</t>
        </is>
      </c>
      <c r="M13" s="26" t="n"/>
      <c r="N13" s="26" t="inlineStr">
        <is>
          <t>plausibel</t>
        </is>
      </c>
      <c r="O13" s="27" t="inlineStr">
        <is>
          <t>umgesetzt</t>
        </is>
      </c>
      <c r="P13" s="27" t="inlineStr">
        <is>
          <t>Inhalt unverändert; Fundstelle der Durchsicht übernommen.</t>
        </is>
      </c>
    </row>
    <row r="14" ht="74.59999999999999" customHeight="1" s="17">
      <c r="A14" s="26" t="inlineStr">
        <is>
          <t>B-013</t>
        </is>
      </c>
      <c r="B14" s="26" t="inlineStr">
        <is>
          <t>Friseur</t>
        </is>
      </c>
      <c r="C14" s="26" t="inlineStr">
        <is>
          <t>Gefährdungsbeurteilung</t>
        </is>
      </c>
      <c r="D14" s="26" t="inlineStr">
        <is>
          <t>Gefährdungen</t>
        </is>
      </c>
      <c r="E14" s="26" t="inlineStr">
        <is>
          <t>Stress und Hektik in Stoßzeiten, zu lange Arbeitszeiten, fehlende oder zu kurze Pausen und Ruhezeiten.</t>
        </is>
      </c>
      <c r="F14" s="26" t="inlineStr">
        <is>
          <t>Faktor: Gestaltung von Arbeits- und Fertigungsverfahren, Arbeitsabläufen und Arbeitszeit und deren Zusammenwirken Maßnahmen: In Spitzenzeiten ausreichend Personal einsetzen; Zeitpuffer für Übergaben und Pausen einplanen. Dienstplanung unter Einbeziehung der Wünsche der Beschäftigten. Höchstarbeitszeit, Pausen und Ruhezeiten einhalten; Mehrarbeit dokumentieren.</t>
        </is>
      </c>
      <c r="G14" s="26" t="n"/>
      <c r="H14" s="26" t="inlineStr">
        <is>
          <t>BGW</t>
        </is>
      </c>
      <c r="I14" s="26" t="inlineStr">
        <is>
          <t>Quelle genannt</t>
        </is>
      </c>
      <c r="J14" s="26" t="inlineStr">
        <is>
          <t>frei</t>
        </is>
      </c>
      <c r="K14" s="26" t="n"/>
      <c r="L14" s="26" t="inlineStr">
        <is>
          <t>ArbZG; BGW</t>
        </is>
      </c>
      <c r="M14" s="26" t="n"/>
      <c r="N14" s="26" t="inlineStr">
        <is>
          <t>plausibel</t>
        </is>
      </c>
      <c r="O14" s="27" t="inlineStr">
        <is>
          <t>umgesetzt</t>
        </is>
      </c>
      <c r="P14" s="27" t="inlineStr">
        <is>
          <t>Inhalt unverändert; Fundstelle der Durchsicht übernommen.</t>
        </is>
      </c>
    </row>
    <row r="15" ht="64.15000000000001" customHeight="1" s="17">
      <c r="A15" s="26" t="inlineStr">
        <is>
          <t>B-014</t>
        </is>
      </c>
      <c r="B15" s="26" t="inlineStr">
        <is>
          <t>Friseur</t>
        </is>
      </c>
      <c r="C15" s="26" t="inlineStr">
        <is>
          <t>Gefährdungsbeurteilung</t>
        </is>
      </c>
      <c r="D15" s="26" t="inlineStr">
        <is>
          <t>Gefährdungen</t>
        </is>
      </c>
      <c r="E15" s="26" t="inlineStr">
        <is>
          <t>Zeitdruck, Konflikte im Team, unzufriedene Kundschaft sowie Aggressionen und Übergriffe.</t>
        </is>
      </c>
      <c r="F15" s="26" t="inlineStr">
        <is>
          <t>Faktor: Psychische Belastungen bei der Arbeit Maßnahmen: Aufgaben, Zuständigkeiten und Entscheidungskompetenzen klar regeln, dokumentieren und kommunizieren. Verhalten in Notsituationen festlegen; Arbeitspläne so gestalten, dass niemand allein arbeitet. Bei Konflikten mit Kundschaft Rückendeckung geben und Vermittlungsgespräche anbieten.</t>
        </is>
      </c>
      <c r="G15" s="26" t="n"/>
      <c r="H15" s="26" t="inlineStr">
        <is>
          <t>BGW</t>
        </is>
      </c>
      <c r="I15" s="26" t="inlineStr">
        <is>
          <t>Quelle genannt</t>
        </is>
      </c>
      <c r="J15" s="26" t="inlineStr">
        <is>
          <t>ändern</t>
        </is>
      </c>
      <c r="K15" s="26" t="inlineStr">
        <is>
          <t>„Arbeitspläne so gestalten, dass niemand allein arbeitet“ → „Alleinarbeit möglichst vermeiden, sonst Notruf/Erreichbarkeit regeln“.</t>
        </is>
      </c>
      <c r="L15" s="26" t="inlineStr">
        <is>
          <t>BGW; DGUV Regel 112-139</t>
        </is>
      </c>
      <c r="M15" s="26" t="inlineStr">
        <is>
          <t>Absolute Formulierung im Kleinstsalon nicht erfüllbar.</t>
        </is>
      </c>
      <c r="N15" s="26" t="inlineStr">
        <is>
          <t>plausibel</t>
        </is>
      </c>
      <c r="O15" s="27" t="inlineStr">
        <is>
          <t>umgesetzt</t>
        </is>
      </c>
      <c r="P15" s="27" t="inlineStr">
        <is>
          <t>Korrektur übernommen, Fundstelle ersetzt.</t>
        </is>
      </c>
    </row>
    <row r="16" ht="64.15000000000001" customHeight="1" s="17">
      <c r="A16" s="26" t="inlineStr">
        <is>
          <t>B-015</t>
        </is>
      </c>
      <c r="B16" s="26" t="inlineStr">
        <is>
          <t>Friseur</t>
        </is>
      </c>
      <c r="C16" s="26" t="inlineStr">
        <is>
          <t>Gefährdungsbeurteilung</t>
        </is>
      </c>
      <c r="D16" s="26" t="inlineStr">
        <is>
          <t>Gefährdungen</t>
        </is>
      </c>
      <c r="E16" s="26" t="inlineStr">
        <is>
          <t>Fehlende Kenntnisse über Gefahrstoffe, Hautschutz und Hygieneregeln.</t>
        </is>
      </c>
      <c r="F16" s="26" t="inlineStr">
        <is>
          <t>Faktor: Unzureichende Qualifikation und Unterweisung der Beschäftigten Maßnahmen: Regelmäßig unterweisen und die Unterweisung mit Betriebsanweisung, Reinigungs- und Desinfektionsplan sowie Hautschutzplan verknüpfen. Unterweisung dokumentieren (z. B. mit dem Unterweisungsnachweis).</t>
        </is>
      </c>
      <c r="G16" s="26" t="n"/>
      <c r="H16" s="26" t="inlineStr">
        <is>
          <t>BGW</t>
        </is>
      </c>
      <c r="I16" s="26" t="inlineStr">
        <is>
          <t>Quelle genannt</t>
        </is>
      </c>
      <c r="J16" s="26" t="inlineStr">
        <is>
          <t>frei</t>
        </is>
      </c>
      <c r="K16" s="26" t="n"/>
      <c r="L16" s="26" t="inlineStr">
        <is>
          <t>§ 12 ArbSchG; § 14 GefStoffV</t>
        </is>
      </c>
      <c r="M16" s="26" t="n"/>
      <c r="N16" s="26" t="inlineStr">
        <is>
          <t>plausibel</t>
        </is>
      </c>
      <c r="O16" s="27" t="inlineStr">
        <is>
          <t>umgesetzt</t>
        </is>
      </c>
      <c r="P16" s="27" t="inlineStr">
        <is>
          <t>Inhalt unverändert; Fundstelle der Durchsicht übernommen.</t>
        </is>
      </c>
    </row>
    <row r="17" ht="43.25" customHeight="1" s="17">
      <c r="A17" s="26" t="inlineStr">
        <is>
          <t>B-016</t>
        </is>
      </c>
      <c r="B17" s="26" t="inlineStr">
        <is>
          <t>Friseur</t>
        </is>
      </c>
      <c r="C17" s="26" t="inlineStr">
        <is>
          <t>Gefährdungsbeurteilung</t>
        </is>
      </c>
      <c r="D17" s="26" t="inlineStr">
        <is>
          <t>Gefährdungen</t>
        </is>
      </c>
      <c r="E17" s="26" t="inlineStr">
        <is>
          <t>Verzögerte Hilfe bei Unfällen und Notfällen.</t>
        </is>
      </c>
      <c r="F17" s="26" t="inlineStr">
        <is>
          <t>Faktor: Sonstige Gefährdungen Maßnahmen: Verbandkasten nach DIN 13157 (Typ C) bereitstellen; Standort allen Beschäftigten bekannt machen. Anschrift und Telefonnummer des Rettungsdienstes deutlich aushängen.</t>
        </is>
      </c>
      <c r="G17" s="26" t="inlineStr">
        <is>
          <t>Typ C</t>
        </is>
      </c>
      <c r="H17" s="26" t="inlineStr">
        <is>
          <t>BGW</t>
        </is>
      </c>
      <c r="I17" s="26" t="inlineStr">
        <is>
          <t>Quelle genannt</t>
        </is>
      </c>
      <c r="J17" s="26" t="inlineStr">
        <is>
          <t>frei</t>
        </is>
      </c>
      <c r="K17" s="26" t="inlineStr">
        <is>
          <t>Quelle präzisieren.</t>
        </is>
      </c>
      <c r="L17" s="26" t="inlineStr">
        <is>
          <t>ASR A4.3 Tab. 1; DIN 13157</t>
        </is>
      </c>
      <c r="M17" s="26" t="n"/>
      <c r="N17" s="26" t="inlineStr">
        <is>
          <t>plausibel</t>
        </is>
      </c>
      <c r="O17" s="27" t="inlineStr">
        <is>
          <t>umgesetzt</t>
        </is>
      </c>
      <c r="P17" s="27" t="inlineStr">
        <is>
          <t>Inhalt unverändert; Fundstelle der Durchsicht übernommen. Hinweis „Quelle präzisieren.“ berücksichtigt.</t>
        </is>
      </c>
    </row>
    <row r="18" ht="64.15000000000001" customHeight="1" s="17">
      <c r="A18" s="26" t="inlineStr">
        <is>
          <t>B-017</t>
        </is>
      </c>
      <c r="B18" s="26" t="inlineStr">
        <is>
          <t>Kosmetik</t>
        </is>
      </c>
      <c r="C18" s="26" t="inlineStr">
        <is>
          <t>Gefährdungsbeurteilung</t>
        </is>
      </c>
      <c r="D18" s="26" t="inlineStr">
        <is>
          <t>Gefährdungen</t>
        </is>
      </c>
      <c r="E18" s="26" t="inlineStr">
        <is>
          <t>Stolpern, Ausrutschen und Stürzen durch nasse Böden, Schmierfilme, Stufen oder Kabel.</t>
        </is>
      </c>
      <c r="F18" s="26" t="inlineStr">
        <is>
          <t>Faktor: Gestaltung und Einrichtung der Arbeitsstätte und des Arbeitsplatzes Maßnahmen: Rutschhemmende Böden und Schmutzfangmatten; Kabel bündeln; Stufenkanten markieren. Grundreinigung außerhalb des Publikumsverkehrs; nasse Bereiche mit Warnschildern kennzeichnen. Flache, rutschhemmende Schuhe tragen.</t>
        </is>
      </c>
      <c r="G18" s="26" t="n"/>
      <c r="H18" s="26" t="inlineStr">
        <is>
          <t>BGW 04-05-080, Stand 03/2023, S. 27–28</t>
        </is>
      </c>
      <c r="I18" s="26" t="inlineStr">
        <is>
          <t>Quelle genannt</t>
        </is>
      </c>
      <c r="J18" s="26" t="inlineStr">
        <is>
          <t>frei</t>
        </is>
      </c>
      <c r="K18" s="26" t="n"/>
      <c r="L18" s="26" t="inlineStr">
        <is>
          <t>BGW 04-05-080; ASR A1.5</t>
        </is>
      </c>
      <c r="M18" s="26" t="n"/>
      <c r="N18" s="26" t="inlineStr">
        <is>
          <t>plausibel</t>
        </is>
      </c>
      <c r="O18" s="27" t="inlineStr">
        <is>
          <t>umgesetzt</t>
        </is>
      </c>
      <c r="P18" s="27" t="inlineStr">
        <is>
          <t>Inhalt unverändert; Fundstelle der Durchsicht übernommen.</t>
        </is>
      </c>
    </row>
    <row r="19" ht="53.7" customHeight="1" s="17">
      <c r="A19" s="26" t="inlineStr">
        <is>
          <t>B-018</t>
        </is>
      </c>
      <c r="B19" s="26" t="inlineStr">
        <is>
          <t>Kosmetik</t>
        </is>
      </c>
      <c r="C19" s="26" t="inlineStr">
        <is>
          <t>Gefährdungsbeurteilung</t>
        </is>
      </c>
      <c r="D19" s="26" t="inlineStr">
        <is>
          <t>Gefährdungen</t>
        </is>
      </c>
      <c r="E19" s="26" t="inlineStr">
        <is>
          <t>Unzureichende Beleuchtung bei Präzisionsarbeiten sowie an Eingang und Treppen.</t>
        </is>
      </c>
      <c r="F19" s="26" t="inlineStr">
        <is>
          <t>Faktor: Gestaltung und Einrichtung der Arbeitsstätte und des Arbeitsplatzes Maßnahmen: Arbeitsplätze für Kosmetik- und Sticharbeiten mit mindestens 750 Lux beleuchten (ASR A3.4 beachten). Eingang und Treppen ausreichend ausleuchten.</t>
        </is>
      </c>
      <c r="G19" s="26" t="inlineStr">
        <is>
          <t>mindestens 750 Lux</t>
        </is>
      </c>
      <c r="H19" s="26" t="inlineStr">
        <is>
          <t>BGW 04-05-080, S. 28, 31, 36, 39; ebenso BGW Sichere Seiten Friseur/Arbeitsplatz (Kosmetik 750 Lux)</t>
        </is>
      </c>
      <c r="I19" s="26" t="inlineStr">
        <is>
          <t>Quelle genannt</t>
        </is>
      </c>
      <c r="J19" s="26" t="inlineStr">
        <is>
          <t>ändern</t>
        </is>
      </c>
      <c r="K19" s="26" t="inlineStr">
        <is>
          <t>„Präzisionsarbeiten (Maniküre, Pediküre, Permanent-Make-up)“ statt „Sticharbeiten“. Hinweis: ASR A3.4 Anh. 3 nennt für Kosmetik keinen Wert (Haarpflege Nr. 12.1: 500 lx); 750 lx ist BGW-Empfehlung.</t>
        </is>
      </c>
      <c r="L19" s="26" t="inlineStr">
        <is>
          <t>BGW 04-05-080; ASR A3.4 Anhang 3</t>
        </is>
      </c>
      <c r="M19" s="26" t="inlineStr">
        <is>
          <t>ASR-Verweis suggeriert ASR-Wert, den es nicht gibt (nachgelesen).</t>
        </is>
      </c>
      <c r="N19" s="26" t="inlineStr">
        <is>
          <t>bestätigt</t>
        </is>
      </c>
      <c r="O19" s="27" t="inlineStr">
        <is>
          <t>umgesetzt</t>
        </is>
      </c>
      <c r="P19" s="27" t="inlineStr">
        <is>
          <t>„Präzisionsarbeiten (Maniküre, Pediküre, Permanent-Make-up)“; 750 lx als BGW-Empfehlung, ASR-Hinweis berichtigt.</t>
        </is>
      </c>
    </row>
    <row r="20" ht="64.15000000000001" customHeight="1" s="17">
      <c r="A20" s="26" t="inlineStr">
        <is>
          <t>B-019</t>
        </is>
      </c>
      <c r="B20" s="26" t="inlineStr">
        <is>
          <t>Kosmetik</t>
        </is>
      </c>
      <c r="C20" s="26" t="inlineStr">
        <is>
          <t>Gefährdungsbeurteilung</t>
        </is>
      </c>
      <c r="D20" s="26" t="inlineStr">
        <is>
          <t>Gefährdungen</t>
        </is>
      </c>
      <c r="E20" s="26" t="inlineStr">
        <is>
          <t>Hautbelastung durch Feuchtarbeit, häufiges Händewaschen, langes Handschuhtragen sowie Desinfektions- und Reinigungsmittel.</t>
        </is>
      </c>
      <c r="F20" s="26" t="inlineStr">
        <is>
          <t>Faktor: Physikalische, chemische und biologische Einwirkungen Maßnahmen: Feucht- und Trockenarbeit wechseln und zeitlich begrenzen. pH-neutrale, farb- und duftstofffreie Hautreinigungsmittel und rückfettende Händedesinfektion bereitstellen; Hautschutz- und Händehygieneplan aufstellen. Latexfreie Schutzhandschuhe verwenden.</t>
        </is>
      </c>
      <c r="G20" s="26" t="n"/>
      <c r="H20" s="26" t="inlineStr">
        <is>
          <t>BGW 04-05-080, S. 21–22</t>
        </is>
      </c>
      <c r="I20" s="26" t="inlineStr">
        <is>
          <t>Quelle genannt</t>
        </is>
      </c>
      <c r="J20" s="26" t="inlineStr">
        <is>
          <t>frei</t>
        </is>
      </c>
      <c r="K20" s="26" t="n"/>
      <c r="L20" s="26" t="inlineStr">
        <is>
          <t>BGW; TRGS 401</t>
        </is>
      </c>
      <c r="M20" s="26" t="n"/>
      <c r="N20" s="26" t="inlineStr">
        <is>
          <t>plausibel</t>
        </is>
      </c>
      <c r="O20" s="27" t="inlineStr">
        <is>
          <t>umgesetzt</t>
        </is>
      </c>
      <c r="P20" s="27" t="inlineStr">
        <is>
          <t>Inhalt unverändert; Fundstelle der Durchsicht übernommen.</t>
        </is>
      </c>
    </row>
    <row r="21" ht="53.7" customHeight="1" s="17">
      <c r="A21" s="26" t="inlineStr">
        <is>
          <t>B-020</t>
        </is>
      </c>
      <c r="B21" s="26" t="inlineStr">
        <is>
          <t>Kosmetik</t>
        </is>
      </c>
      <c r="C21" s="26" t="inlineStr">
        <is>
          <t>Gefährdungsbeurteilung</t>
        </is>
      </c>
      <c r="D21" s="26" t="inlineStr">
        <is>
          <t>Gefährdungen</t>
        </is>
      </c>
      <c r="E21" s="26" t="inlineStr">
        <is>
          <t>Kleber, Aktivatoren und Reiniger bei der Nagelmodellage reizen Haut, Augen und Atemwege.</t>
        </is>
      </c>
      <c r="F21" s="26" t="inlineStr">
        <is>
          <t>Faktor: Physikalische, chemische und biologische Einwirkungen Maßnahmen: Weniger gefährliche Produkte einsetzen; Mengen minimieren. Absaugung am Arbeitsplatz; mindestens Fensterlüftung. Entzündbare Mittel kühl und trocken lagern. Einmalhandschuhe und Schutzbrille tragen.</t>
        </is>
      </c>
      <c r="G21" s="26" t="n"/>
      <c r="H21" s="26" t="inlineStr">
        <is>
          <t>BGW 04-05-080, S. 41</t>
        </is>
      </c>
      <c r="I21" s="26" t="inlineStr">
        <is>
          <t>Quelle genannt</t>
        </is>
      </c>
      <c r="J21" s="26" t="inlineStr">
        <is>
          <t>frei</t>
        </is>
      </c>
      <c r="K21" s="26" t="n"/>
      <c r="L21" s="26" t="inlineStr">
        <is>
          <t>BGW 04-05-080</t>
        </is>
      </c>
      <c r="M21" s="26" t="n"/>
      <c r="N21" s="26" t="inlineStr">
        <is>
          <t>plausibel</t>
        </is>
      </c>
      <c r="O21" s="27" t="inlineStr">
        <is>
          <t>umgesetzt</t>
        </is>
      </c>
      <c r="P21" s="27" t="inlineStr">
        <is>
          <t>Inhalt unverändert; Fundstelle der Durchsicht übernommen.</t>
        </is>
      </c>
    </row>
    <row r="22" ht="32.8" customHeight="1" s="17">
      <c r="A22" s="26" t="inlineStr">
        <is>
          <t>B-021</t>
        </is>
      </c>
      <c r="B22" s="26" t="inlineStr">
        <is>
          <t>Kosmetik</t>
        </is>
      </c>
      <c r="C22" s="26" t="inlineStr">
        <is>
          <t>Gefährdungsbeurteilung</t>
        </is>
      </c>
      <c r="D22" s="26" t="inlineStr">
        <is>
          <t>Gefährdungen</t>
        </is>
      </c>
      <c r="E22" s="26" t="inlineStr">
        <is>
          <t>Einatmen von Stäuben beim Feilen und Fräsen von Kunstnägeln oder Hornhaut.</t>
        </is>
      </c>
      <c r="F22" s="26" t="inlineStr">
        <is>
          <t>Faktor: Physikalische, chemische und biologische Einwirkungen Maßnahmen: Absaugung oder Nass-/Sprühtechnik einsetzen. FFP2-Maske und Schutzbrille tragen.</t>
        </is>
      </c>
      <c r="G22" s="26" t="n"/>
      <c r="H22" s="26" t="inlineStr">
        <is>
          <t>BGW 04-05-080, S. 18, 41</t>
        </is>
      </c>
      <c r="I22" s="26" t="inlineStr">
        <is>
          <t>Quelle genannt</t>
        </is>
      </c>
      <c r="J22" s="26" t="inlineStr">
        <is>
          <t>frei</t>
        </is>
      </c>
      <c r="K22" s="26" t="n"/>
      <c r="L22" s="26" t="inlineStr">
        <is>
          <t>BGW 04-05-080</t>
        </is>
      </c>
      <c r="M22" s="26" t="n"/>
      <c r="N22" s="26" t="inlineStr">
        <is>
          <t>plausibel</t>
        </is>
      </c>
      <c r="O22" s="27" t="inlineStr">
        <is>
          <t>umgesetzt</t>
        </is>
      </c>
      <c r="P22" s="27" t="inlineStr">
        <is>
          <t>Inhalt unverändert; Fundstelle der Durchsicht übernommen.</t>
        </is>
      </c>
    </row>
    <row r="23" ht="74.59999999999999" customHeight="1" s="17">
      <c r="A23" s="26" t="inlineStr">
        <is>
          <t>B-022</t>
        </is>
      </c>
      <c r="B23" s="26" t="inlineStr">
        <is>
          <t>Kosmetik</t>
        </is>
      </c>
      <c r="C23" s="26" t="inlineStr">
        <is>
          <t>Gefährdungsbeurteilung</t>
        </is>
      </c>
      <c r="D23" s="26" t="inlineStr">
        <is>
          <t>Gefährdungen</t>
        </is>
      </c>
      <c r="E23" s="26" t="inlineStr">
        <is>
          <t>Infektionsgefahr (z. B. Hepatitis, HIV) durch Blutkontakt sowie Stich- und Schnittverletzungen.</t>
        </is>
      </c>
      <c r="F23" s="26" t="inlineStr">
        <is>
          <t>Faktor: Physikalische, chemische und biologische Einwirkungen Maßnahmen: Einweglanzetten bzw. Instrumente mit Sicherheitssystem und durchstichsichere Entsorgungsbehälter verwenden. Instrumente nach jedem Hautkontakt desinfizieren bzw. aufbereiten; Hygieneplan aufstellen; Verletzungen im Verbandbuch dokumentieren. Einmalhandschuhe tragen und beschädigte sofort wechseln.</t>
        </is>
      </c>
      <c r="G23" s="26" t="n"/>
      <c r="H23" s="26" t="inlineStr">
        <is>
          <t>BGW 04-05-080, S. 35–36, 39–40, 42</t>
        </is>
      </c>
      <c r="I23" s="26" t="inlineStr">
        <is>
          <t>Quelle genannt</t>
        </is>
      </c>
      <c r="J23" s="26" t="inlineStr">
        <is>
          <t>ändern</t>
        </is>
      </c>
      <c r="K23" s="26" t="inlineStr">
        <is>
          <t>„Hygieneplan“ → Bezug Landes-Hygieneverordnung; Vorgehen nach Stichverletzung (D-Arzt, ggf. PEP binnen 2 Std.) ergänzen.</t>
        </is>
      </c>
      <c r="L23" s="26" t="inlineStr">
        <is>
          <t>BioStoffV § 11; TRBA 250 (sinngemäß); BGW</t>
        </is>
      </c>
      <c r="M23" s="26" t="inlineStr">
        <is>
          <t>Zeitkritik der PEP fehlt.</t>
        </is>
      </c>
      <c r="N23" s="26" t="inlineStr">
        <is>
          <t>plausibel</t>
        </is>
      </c>
      <c r="O23" s="27" t="inlineStr">
        <is>
          <t>umgesetzt</t>
        </is>
      </c>
      <c r="P23" s="27" t="inlineStr">
        <is>
          <t>Korrektur übernommen, Fundstelle ersetzt.</t>
        </is>
      </c>
    </row>
    <row r="24" ht="53.7" customHeight="1" s="17">
      <c r="A24" s="26" t="inlineStr">
        <is>
          <t>B-023</t>
        </is>
      </c>
      <c r="B24" s="26" t="inlineStr">
        <is>
          <t>Kosmetik</t>
        </is>
      </c>
      <c r="C24" s="26" t="inlineStr">
        <is>
          <t>Gefährdungsbeurteilung</t>
        </is>
      </c>
      <c r="D24" s="26" t="inlineStr">
        <is>
          <t>Gefährdungen</t>
        </is>
      </c>
      <c r="E24" s="26" t="inlineStr">
        <is>
          <t>Sensibilisierung durch Konservierungs- und Duftstoffe in Kosmetikprodukten (z. B. Massageöle, Cremes, Nagellack).</t>
        </is>
      </c>
      <c r="F24" s="26" t="inlineStr">
        <is>
          <t>Faktor: Physikalische, chemische und biologische Einwirkungen Maßnahmen: Nur zugelassene, der EU-Kosmetikverordnung entsprechende Produkte verwenden; Mengen gering halten. Betriebsanweisung erstellen; arbeitsmedizinische Vorsorge berücksichtigen.</t>
        </is>
      </c>
      <c r="G24" s="26" t="n"/>
      <c r="H24" s="26" t="inlineStr">
        <is>
          <t>BGW 04-05-080, S. 33, 37</t>
        </is>
      </c>
      <c r="I24" s="26" t="inlineStr">
        <is>
          <t>Quelle genannt</t>
        </is>
      </c>
      <c r="J24" s="26" t="inlineStr">
        <is>
          <t>frei</t>
        </is>
      </c>
      <c r="K24" s="26" t="n"/>
      <c r="L24" s="26" t="inlineStr">
        <is>
          <t>BGW 04-05-080</t>
        </is>
      </c>
      <c r="M24" s="26" t="n"/>
      <c r="N24" s="26" t="inlineStr">
        <is>
          <t>plausibel</t>
        </is>
      </c>
      <c r="O24" s="27" t="inlineStr">
        <is>
          <t>umgesetzt</t>
        </is>
      </c>
      <c r="P24" s="27" t="inlineStr">
        <is>
          <t>Inhalt unverändert; Fundstelle der Durchsicht übernommen.</t>
        </is>
      </c>
    </row>
    <row r="25" ht="43.25" customHeight="1" s="17">
      <c r="A25" s="26" t="inlineStr">
        <is>
          <t>B-024</t>
        </is>
      </c>
      <c r="B25" s="26" t="inlineStr">
        <is>
          <t>Kosmetik</t>
        </is>
      </c>
      <c r="C25" s="26" t="inlineStr">
        <is>
          <t>Gefährdungsbeurteilung</t>
        </is>
      </c>
      <c r="D25" s="26" t="inlineStr">
        <is>
          <t>Gefährdungen</t>
        </is>
      </c>
      <c r="E25" s="26" t="inlineStr">
        <is>
          <t>Augenschäden durch optische Strahlung bei Laser- und IPL-Anwendungen.</t>
        </is>
      </c>
      <c r="F25" s="26" t="inlineStr">
        <is>
          <t>Faktor: Physikalische, chemische und biologische Einwirkungen Maßnahmen: Nur zugelassene Geräte einsetzen; Anwendung nur durch fachkundige Personen (NiSV beachten). Geeignete Laser- bzw. Lichtschutzbrille tragen.</t>
        </is>
      </c>
      <c r="G25" s="26" t="n"/>
      <c r="H25" s="26" t="inlineStr">
        <is>
          <t>BGW 04-05-080, S. 40</t>
        </is>
      </c>
      <c r="I25" s="26" t="inlineStr">
        <is>
          <t>Quelle genannt</t>
        </is>
      </c>
      <c r="J25" s="26" t="inlineStr">
        <is>
          <t>ändern</t>
        </is>
      </c>
      <c r="K25" s="26" t="inlineStr">
        <is>
          <t>Ergänzen: „Laserschutzbeauftragten bestellen bei Lasern der Klassen 3R, 3B, 4 (§ 5 Abs. 2 OStrV); Fachkunde nach NiSV.“</t>
        </is>
      </c>
      <c r="L25" s="26" t="inlineStr">
        <is>
          <t>OStrV; TROS Laserstrahlung; NiSV</t>
        </is>
      </c>
      <c r="M25" s="26" t="inlineStr">
        <is>
          <t>Beschäftigtenschutz (OStrV) fehlt, NiSV betrifft Kundenschutz.</t>
        </is>
      </c>
      <c r="N25" s="26" t="inlineStr">
        <is>
          <t>plausibel</t>
        </is>
      </c>
      <c r="O25" s="27" t="inlineStr">
        <is>
          <t>umgesetzt</t>
        </is>
      </c>
      <c r="P25" s="27" t="inlineStr">
        <is>
          <t>Korrektur übernommen, Fundstelle ersetzt.</t>
        </is>
      </c>
    </row>
    <row r="26" ht="85.05" customHeight="1" s="17">
      <c r="A26" s="26" t="inlineStr">
        <is>
          <t>B-025</t>
        </is>
      </c>
      <c r="B26" s="26" t="inlineStr">
        <is>
          <t>Kosmetik</t>
        </is>
      </c>
      <c r="C26" s="26" t="inlineStr">
        <is>
          <t>Gefährdungsbeurteilung</t>
        </is>
      </c>
      <c r="D26" s="26" t="inlineStr">
        <is>
          <t>Gefährdungen</t>
        </is>
      </c>
      <c r="E26" s="26" t="inlineStr">
        <is>
          <t>Stromschlag und Brandgefahr durch beschädigte Geräte, Leitungen oder Lampen, besonders bei Feuchtigkeit.</t>
        </is>
      </c>
      <c r="F26" s="26" t="inlineStr">
        <is>
          <t>Faktor: Gestaltung, Auswahl und Einsatz von Arbeitsmitteln (Arbeitsstoffe, Maschinen, Geräte, Anlagen) und der Umgang damit Maßnahmen: Geräte mit CE-/GS-Kennzeichnung beschaffen; Fehlerstrom-Schutzschalter (FI/RCD) einsetzen. Sicht- und Funktionskontrolle vor Benutzung; defekte Geräte sofort aus dem Verkehr ziehen. Wiederkehrende Prüfung ortsveränderlicher Geräte (je nach Fehlerquote 6 Monate bis 2 Jahre) durch Elektrofachkraft oder befähigte Person.</t>
        </is>
      </c>
      <c r="G26" s="26" t="inlineStr">
        <is>
          <t>6 Monate; bis 2 Jahre</t>
        </is>
      </c>
      <c r="H26" s="26" t="inlineStr">
        <is>
          <t>BGW 04-05-080, S. 25–26</t>
        </is>
      </c>
      <c r="I26" s="26" t="inlineStr">
        <is>
          <t>Quelle genannt</t>
        </is>
      </c>
      <c r="J26" s="26" t="inlineStr">
        <is>
          <t>frei</t>
        </is>
      </c>
      <c r="K26" s="26" t="n"/>
      <c r="L26" s="26" t="inlineStr">
        <is>
          <t>DGUV V3 DA Tab. 1B; BGW</t>
        </is>
      </c>
      <c r="M26" s="26" t="n"/>
      <c r="N26" s="26" t="inlineStr">
        <is>
          <t>plausibel</t>
        </is>
      </c>
      <c r="O26" s="27" t="inlineStr">
        <is>
          <t>umgesetzt</t>
        </is>
      </c>
      <c r="P26" s="27" t="inlineStr">
        <is>
          <t>Inhalt unverändert; Fundstelle der Durchsicht übernommen.</t>
        </is>
      </c>
    </row>
    <row r="27" ht="64.15000000000001" customHeight="1" s="17">
      <c r="A27" s="26" t="inlineStr">
        <is>
          <t>B-026</t>
        </is>
      </c>
      <c r="B27" s="26" t="inlineStr">
        <is>
          <t>Kosmetik</t>
        </is>
      </c>
      <c r="C27" s="26" t="inlineStr">
        <is>
          <t>Gefährdungsbeurteilung</t>
        </is>
      </c>
      <c r="D27" s="26" t="inlineStr">
        <is>
          <t>Gefährdungen</t>
        </is>
      </c>
      <c r="E27" s="26" t="inlineStr">
        <is>
          <t>Quetsch- und Scherstellen an höhenverstellbaren Behandlungsliegen, unbeabsichtigtes Auslösen der Verstellung.</t>
        </is>
      </c>
      <c r="F27" s="26" t="inlineStr">
        <is>
          <t>Faktor: Gestaltung, Auswahl und Einsatz von Arbeitsmitteln (Arbeitsstoffe, Maschinen, Geräte, Anlagen) und der Umgang damit Maßnahmen: Scherstellen abschirmen; Fußtaste gegen Fehlbedienung sichern; Bewegung nur bei gedrückter Taste. Liege bei Reinigung gegen Verstellen sichern; Unterweisung auch für Reinigungskräfte.</t>
        </is>
      </c>
      <c r="G27" s="26" t="n"/>
      <c r="H27" s="26" t="inlineStr">
        <is>
          <t>BGW 04-05-080, S. 26–27, 29–30</t>
        </is>
      </c>
      <c r="I27" s="26" t="inlineStr">
        <is>
          <t>Quelle genannt</t>
        </is>
      </c>
      <c r="J27" s="26" t="inlineStr">
        <is>
          <t>frei</t>
        </is>
      </c>
      <c r="K27" s="26" t="n"/>
      <c r="L27" s="26" t="inlineStr">
        <is>
          <t>BGW</t>
        </is>
      </c>
      <c r="M27" s="26" t="n"/>
      <c r="N27" s="26" t="inlineStr">
        <is>
          <t>plausibel</t>
        </is>
      </c>
      <c r="O27" s="27" t="inlineStr">
        <is>
          <t>umgesetzt</t>
        </is>
      </c>
      <c r="P27" s="27" t="inlineStr">
        <is>
          <t>Inhalt unverändert; Fundstelle der Durchsicht übernommen.</t>
        </is>
      </c>
    </row>
    <row r="28" ht="64.15000000000001" customHeight="1" s="17">
      <c r="A28" s="26" t="inlineStr">
        <is>
          <t>B-027</t>
        </is>
      </c>
      <c r="B28" s="26" t="inlineStr">
        <is>
          <t>Kosmetik</t>
        </is>
      </c>
      <c r="C28" s="26" t="inlineStr">
        <is>
          <t>Gefährdungsbeurteilung</t>
        </is>
      </c>
      <c r="D28" s="26" t="inlineStr">
        <is>
          <t>Gefährdungen</t>
        </is>
      </c>
      <c r="E28" s="26" t="inlineStr">
        <is>
          <t>Belastung des Muskel-Skelett-Systems durch langes Stehen oder Sitzen, ungünstige Haltung und enge Platzverhältnisse.</t>
        </is>
      </c>
      <c r="F28" s="26" t="inlineStr">
        <is>
          <t>Faktor: Gestaltung von Arbeits- und Fertigungsverfahren, Arbeitsabläufen und Arbeitszeit und deren Zusammenwirken Maßnahmen: Höhen- und neigungsverstellbare Liegen, einstellbare Stühle und Stehhilfen bereitstellen. Arbeitsmittel körpernah bereitstellen; Wechsel von Stehen und Sitzen sowie Lockerungspausen einplanen.</t>
        </is>
      </c>
      <c r="G28" s="26" t="n"/>
      <c r="H28" s="26" t="inlineStr">
        <is>
          <t>BGW 04-05-080, S. 23–24</t>
        </is>
      </c>
      <c r="I28" s="26" t="inlineStr">
        <is>
          <t>Quelle genannt</t>
        </is>
      </c>
      <c r="J28" s="26" t="inlineStr">
        <is>
          <t>frei</t>
        </is>
      </c>
      <c r="K28" s="26" t="n"/>
      <c r="L28" s="26" t="inlineStr">
        <is>
          <t>BGW</t>
        </is>
      </c>
      <c r="M28" s="26" t="n"/>
      <c r="N28" s="26" t="inlineStr">
        <is>
          <t>plausibel</t>
        </is>
      </c>
      <c r="O28" s="27" t="inlineStr">
        <is>
          <t>umgesetzt</t>
        </is>
      </c>
      <c r="P28" s="27" t="inlineStr">
        <is>
          <t>Inhalt unverändert; Fundstelle der Durchsicht übernommen.</t>
        </is>
      </c>
    </row>
    <row r="29" ht="53.7" customHeight="1" s="17">
      <c r="A29" s="26" t="inlineStr">
        <is>
          <t>B-028</t>
        </is>
      </c>
      <c r="B29" s="26" t="inlineStr">
        <is>
          <t>Kosmetik</t>
        </is>
      </c>
      <c r="C29" s="26" t="inlineStr">
        <is>
          <t>Gefährdungsbeurteilung</t>
        </is>
      </c>
      <c r="D29" s="26" t="inlineStr">
        <is>
          <t>Gefährdungen</t>
        </is>
      </c>
      <c r="E29" s="26" t="inlineStr">
        <is>
          <t>Zeit- und Leistungsdruck, häufige Unterbrechungen, Alleinarbeit sowie Aggression oder Überfälle.</t>
        </is>
      </c>
      <c r="F29" s="26" t="inlineStr">
        <is>
          <t>Faktor: Psychische Belastungen bei der Arbeit Maßnahmen: Gut beleuchteten Eingang und ggf. Alarmanlage vorsehen. Möglichst zu zweit arbeiten; Notfallplan; Bargeldbestand gering halten, Kassenabschluss ohne Publikum. Dienstplanung mit Wünschen der Beschäftigten; Handlungsspielräume einräumen.</t>
        </is>
      </c>
      <c r="G29" s="26" t="n"/>
      <c r="H29" s="26" t="inlineStr">
        <is>
          <t>BGW 04-05-080, S. 30–31</t>
        </is>
      </c>
      <c r="I29" s="26" t="inlineStr">
        <is>
          <t>Quelle genannt</t>
        </is>
      </c>
      <c r="J29" s="26" t="inlineStr">
        <is>
          <t>frei</t>
        </is>
      </c>
      <c r="K29" s="26" t="n"/>
      <c r="L29" s="26" t="inlineStr">
        <is>
          <t>BGW</t>
        </is>
      </c>
      <c r="M29" s="26" t="n"/>
      <c r="N29" s="26" t="inlineStr">
        <is>
          <t>plausibel</t>
        </is>
      </c>
      <c r="O29" s="27" t="inlineStr">
        <is>
          <t>umgesetzt</t>
        </is>
      </c>
      <c r="P29" s="27" t="inlineStr">
        <is>
          <t>Inhalt unverändert; Fundstelle der Durchsicht übernommen.</t>
        </is>
      </c>
    </row>
    <row r="30" ht="43.25" customHeight="1" s="17">
      <c r="A30" s="26" t="inlineStr">
        <is>
          <t>B-029</t>
        </is>
      </c>
      <c r="B30" s="26" t="inlineStr">
        <is>
          <t>Kosmetik</t>
        </is>
      </c>
      <c r="C30" s="26" t="inlineStr">
        <is>
          <t>Gefährdungsbeurteilung</t>
        </is>
      </c>
      <c r="D30" s="26" t="inlineStr">
        <is>
          <t>Gefährdungen</t>
        </is>
      </c>
      <c r="E30" s="26" t="inlineStr">
        <is>
          <t>Brand durch elektrische Defekte, überhitzte Geräte und entzündbare Desinfektions- und Reinigungsmittel.</t>
        </is>
      </c>
      <c r="F30" s="26" t="inlineStr">
        <is>
          <t>Faktor: Sonstige Gefährdungen Maßnahmen: Geeignete Feuerlöscher und Rauchmelder; Fluchtwege kennzeichnen und freihalten. Brennbare Stoffe getrennt lagern; Brandschutzhelfer benennen; Unterweisung und Räumungsübungen.</t>
        </is>
      </c>
      <c r="G30" s="26" t="n"/>
      <c r="H30" s="26" t="inlineStr">
        <is>
          <t>BGW 04-05-080, S. 19–20</t>
        </is>
      </c>
      <c r="I30" s="26" t="inlineStr">
        <is>
          <t>Quelle genannt</t>
        </is>
      </c>
      <c r="J30" s="26" t="inlineStr">
        <is>
          <t>frei</t>
        </is>
      </c>
      <c r="K30" s="26" t="n"/>
      <c r="L30" s="26" t="inlineStr">
        <is>
          <t>ASR A2.2; BGW</t>
        </is>
      </c>
      <c r="M30" s="26" t="n"/>
      <c r="N30" s="26" t="inlineStr">
        <is>
          <t>plausibel</t>
        </is>
      </c>
      <c r="O30" s="27" t="inlineStr">
        <is>
          <t>umgesetzt</t>
        </is>
      </c>
      <c r="P30" s="27" t="inlineStr">
        <is>
          <t>Inhalt unverändert; Fundstelle der Durchsicht übernommen.</t>
        </is>
      </c>
    </row>
    <row r="31" ht="64.15000000000001" customHeight="1" s="17">
      <c r="A31" s="26" t="inlineStr">
        <is>
          <t>B-030</t>
        </is>
      </c>
      <c r="B31" s="26" t="inlineStr">
        <is>
          <t>Gastronomie / Café</t>
        </is>
      </c>
      <c r="C31" s="26" t="inlineStr">
        <is>
          <t>Gefährdungsbeurteilung</t>
        </is>
      </c>
      <c r="D31" s="26" t="inlineStr">
        <is>
          <t>Gefährdungen</t>
        </is>
      </c>
      <c r="E31" s="26" t="inlineStr">
        <is>
          <t>Ausrutschen und Stürzen auf nassen oder fettigen Böden.</t>
        </is>
      </c>
      <c r="F31" s="26" t="inlineStr">
        <is>
          <t>Faktor: Gestaltung und Einrichtung der Arbeitsstätte und des Arbeitsplatzes Maßnahmen: Ablaufrinnen bzw. Abläufe unter Kippbratpfannen, Kochkesseln und Entleerungsöffnungen. Nach der Reinigung möglichst trockenwischen; nasse Bereiche sperren oder kennzeichnen; Speisereste sofort entfernen. Rutschhemmende Schuhe tragen.</t>
        </is>
      </c>
      <c r="G31" s="26" t="n"/>
      <c r="H31" s="26" t="inlineStr">
        <is>
          <t>DGUV Regel 110-003, Abschn. 3.3.2, 3.5, 3.7</t>
        </is>
      </c>
      <c r="I31" s="26" t="inlineStr">
        <is>
          <t>Quelle genannt</t>
        </is>
      </c>
      <c r="J31" s="26" t="inlineStr">
        <is>
          <t>frei</t>
        </is>
      </c>
      <c r="K31" s="26" t="inlineStr">
        <is>
          <t>Bewertungsgruppe ergänzen: „Küchenboden R 12 (gewerbliche Küche/Spülraum)“.</t>
        </is>
      </c>
      <c r="L31" s="26" t="inlineStr">
        <is>
          <t>DGUV Regel 110-003; ASR A1.5 Anhang 2; BGN ASI 4.40</t>
        </is>
      </c>
      <c r="M31" s="26" t="inlineStr">
        <is>
          <t>Kennzahl fehlt bisher.</t>
        </is>
      </c>
      <c r="N31" s="26" t="inlineStr">
        <is>
          <t>plausibel</t>
        </is>
      </c>
      <c r="O31" s="27" t="inlineStr">
        <is>
          <t>umgesetzt</t>
        </is>
      </c>
      <c r="P31" s="27" t="inlineStr">
        <is>
          <t>Inhalt unverändert; Fundstelle der Durchsicht übernommen. Hinweis „Bewertungsgruppe ergänzen: „Küchenboden R 12 (gewerbliche Küche/Spülraum)“.“ berücksichtigt.</t>
        </is>
      </c>
    </row>
    <row r="32" ht="64.15000000000001" customHeight="1" s="17">
      <c r="A32" s="26" t="inlineStr">
        <is>
          <t>B-031</t>
        </is>
      </c>
      <c r="B32" s="26" t="inlineStr">
        <is>
          <t>Gastronomie / Café</t>
        </is>
      </c>
      <c r="C32" s="26" t="inlineStr">
        <is>
          <t>Gefährdungsbeurteilung</t>
        </is>
      </c>
      <c r="D32" s="26" t="inlineStr">
        <is>
          <t>Gefährdungen</t>
        </is>
      </c>
      <c r="E32" s="26" t="inlineStr">
        <is>
          <t>Hohe Temperatur und Feuchte sowie Schadstoffe in der Atemluft durch unzureichende Küchenlüftung; Brandlast im Abluftsystem.</t>
        </is>
      </c>
      <c r="F32" s="26" t="inlineStr">
        <is>
          <t>Faktor: Gestaltung und Einrichtung der Arbeitsstätte und des Arbeitsplatzes Maßnahmen: Abluftanlage mit ausreichend dimensionierter Haube und Aerosolabscheidern; Gasgeräte mit der Lüftung koppeln. Küchenlüftung vor den Kochgeräten einschalten; Abscheider je nach Verschmutzung, spätestens alle 14 Tage reinigen.</t>
        </is>
      </c>
      <c r="G32" s="26" t="inlineStr">
        <is>
          <t>14 Tage</t>
        </is>
      </c>
      <c r="H32" s="26" t="inlineStr">
        <is>
          <t>DGUV Regel 110-003, Abschn. 3.3.3</t>
        </is>
      </c>
      <c r="I32" s="26" t="inlineStr">
        <is>
          <t>Quelle genannt</t>
        </is>
      </c>
      <c r="J32" s="26" t="inlineStr">
        <is>
          <t>ändern</t>
        </is>
      </c>
      <c r="K32" s="26" t="inlineStr">
        <is>
          <t>„spätestens alle 14 Tage“ nur übernehmen, wenn in DGUV Regel 110-003 Abschn. 3.3.3 belegt – sonst „nach Herstellerangabe und Verschmutzung“; Reinigung der Abluftleitungen ergänzen (VDI 2052).</t>
        </is>
      </c>
      <c r="L32" s="26" t="inlineStr">
        <is>
          <t>DGUV Regel 110-003; VDI 2052</t>
        </is>
      </c>
      <c r="M32" s="26" t="inlineStr">
        <is>
          <t>14-Tage-Wert nicht verifiziert.</t>
        </is>
      </c>
      <c r="N32" s="26" t="inlineStr">
        <is>
          <t>offen</t>
        </is>
      </c>
      <c r="O32" s="27" t="inlineStr">
        <is>
          <t>umgesetzt</t>
        </is>
      </c>
      <c r="P32" s="27" t="inlineStr">
        <is>
          <t>14-Tage-Wert nicht belegt: Alternative „nach Herstellerangabe und Verschmutzung“ übernommen, Reinigung der Abluftleitungen (VDI 2052) ergänzt; Prüfstand offen – „fachlich zu prüfen“ bleibt.</t>
        </is>
      </c>
    </row>
    <row r="33" ht="64.15000000000001" customHeight="1" s="17">
      <c r="A33" s="26" t="inlineStr">
        <is>
          <t>B-032</t>
        </is>
      </c>
      <c r="B33" s="26" t="inlineStr">
        <is>
          <t>Gastronomie / Café</t>
        </is>
      </c>
      <c r="C33" s="26" t="inlineStr">
        <is>
          <t>Gefährdungsbeurteilung</t>
        </is>
      </c>
      <c r="D33" s="26" t="inlineStr">
        <is>
          <t>Gefährdungen</t>
        </is>
      </c>
      <c r="E33" s="26" t="inlineStr">
        <is>
          <t>Eingeschlossenwerden und Kälteeinwirkung in Kühl- und Tiefkühlräumen.</t>
        </is>
      </c>
      <c r="F33" s="26" t="inlineStr">
        <is>
          <t>Faktor: Gestaltung und Einrichtung der Arbeitsstätte und des Arbeitsplatzes Maßnahmen: Kühlraumtüren von innen entriegelbar; Ausgänge mit Sicherheitsbeleuchtung oder nachleuchtender Markierung. Vor dem Abschließen prüfen, dass sich niemand mehr im Kühlraum befindet. Warme Kleidung bzw. Kälteschutzkleidung bei längerem Aufenthalt.</t>
        </is>
      </c>
      <c r="G33" s="26" t="n"/>
      <c r="H33" s="26" t="inlineStr">
        <is>
          <t>DGUV Regel 110-003, Abschn. 3.1</t>
        </is>
      </c>
      <c r="I33" s="26" t="inlineStr">
        <is>
          <t>Quelle genannt</t>
        </is>
      </c>
      <c r="J33" s="26" t="inlineStr">
        <is>
          <t>ändern</t>
        </is>
      </c>
      <c r="K33" s="26" t="inlineStr">
        <is>
          <t>Ergänzen: „Notrufeinrichtung in begehbaren Tiefkühlräumen“ (Fundstelle prüfen).</t>
        </is>
      </c>
      <c r="L33" s="26" t="inlineStr">
        <is>
          <t>DGUV Regel 110-003 Abschn. 3.1</t>
        </is>
      </c>
      <c r="M33" s="26" t="n"/>
      <c r="N33" s="26" t="inlineStr">
        <is>
          <t>offen</t>
        </is>
      </c>
      <c r="O33" s="27" t="inlineStr">
        <is>
          <t>umgesetzt</t>
        </is>
      </c>
      <c r="P33" s="27" t="inlineStr">
        <is>
          <t>Notrufeinrichtung in begehbaren Tiefkühlräumen ergänzt; Fundstelle offen – „fachlich zu prüfen“ bleibt.</t>
        </is>
      </c>
    </row>
    <row r="34" ht="85.05" customHeight="1" s="17">
      <c r="A34" s="26" t="inlineStr">
        <is>
          <t>B-033</t>
        </is>
      </c>
      <c r="B34" s="26" t="inlineStr">
        <is>
          <t>Gastronomie / Café</t>
        </is>
      </c>
      <c r="C34" s="26" t="inlineStr">
        <is>
          <t>Gefährdungsbeurteilung</t>
        </is>
      </c>
      <c r="D34" s="26" t="inlineStr">
        <is>
          <t>Gefährdungen</t>
        </is>
      </c>
      <c r="E34" s="26" t="inlineStr">
        <is>
          <t>Schnittverletzungen an Messern, Aufschnittmaschinen und Gemüseschneidern.</t>
        </is>
      </c>
      <c r="F34" s="26" t="inlineStr">
        <is>
          <t>Faktor: Gestaltung, Auswahl und Einsatz von Arbeitsmitteln (Arbeitsstoffe, Maschinen, Geräte, Anlagen) und der Umgang damit Maßnahmen: Schutzeinrichtungen (Messerschutzring, Restehalter, Fingerschutz, Schutztrichter) funktionsfähig halten. Stopfer statt Hand verwenden; Maschine vor dem Abstreifen ausschalten; Messer passend zum Einsatzzweck. Schnitthemmende Handschuhe bei Schneidwerkzeugen und beim Messerwechsel.</t>
        </is>
      </c>
      <c r="G34" s="26" t="n"/>
      <c r="H34" s="26" t="inlineStr">
        <is>
          <t>DGUV Regel 110-003, Abschn. 3.2</t>
        </is>
      </c>
      <c r="I34" s="26" t="inlineStr">
        <is>
          <t>Quelle genannt</t>
        </is>
      </c>
      <c r="J34" s="26" t="inlineStr">
        <is>
          <t>frei</t>
        </is>
      </c>
      <c r="K34" s="26" t="n"/>
      <c r="L34" s="26" t="inlineStr">
        <is>
          <t>DGUV Regel 110-003 Abschn. 3.2</t>
        </is>
      </c>
      <c r="M34" s="26" t="n"/>
      <c r="N34" s="26" t="inlineStr">
        <is>
          <t>plausibel</t>
        </is>
      </c>
      <c r="O34" s="27" t="inlineStr">
        <is>
          <t>umgesetzt</t>
        </is>
      </c>
      <c r="P34" s="27" t="inlineStr">
        <is>
          <t>Inhalt unverändert; Fundstelle der Durchsicht übernommen.</t>
        </is>
      </c>
    </row>
    <row r="35" ht="64.15000000000001" customHeight="1" s="17">
      <c r="A35" s="26" t="inlineStr">
        <is>
          <t>B-034</t>
        </is>
      </c>
      <c r="B35" s="26" t="inlineStr">
        <is>
          <t>Gastronomie / Café</t>
        </is>
      </c>
      <c r="C35" s="26" t="inlineStr">
        <is>
          <t>Gefährdungsbeurteilung</t>
        </is>
      </c>
      <c r="D35" s="26" t="inlineStr">
        <is>
          <t>Gefährdungen</t>
        </is>
      </c>
      <c r="E35" s="26" t="inlineStr">
        <is>
          <t>Schnittverletzungen durch Glasbruch, Scherben und Dosen beim Spülen und Entsorgen.</t>
        </is>
      </c>
      <c r="F35" s="26" t="inlineStr">
        <is>
          <t>Faktor: Gestaltung, Auswahl und Einsatz von Arbeitsmitteln (Arbeitsstoffe, Maschinen, Geräte, Anlagen) und der Umgang damit Maßnahmen: Sammelbehälter und Hilfsmittel (Schaufel, Besen) für scharfe Abfälle; keine Müllbeutel. Scharfe Messer nicht in der Spülmaschine reinigen. Schnitthemmende Handschuhe beim Umgang mit Glas und scharfen Abfällen.</t>
        </is>
      </c>
      <c r="G35" s="26" t="n"/>
      <c r="H35" s="26" t="inlineStr">
        <is>
          <t>DGUV Regel 110-003, Abschn. 3.5, 3.6</t>
        </is>
      </c>
      <c r="I35" s="26" t="inlineStr">
        <is>
          <t>Quelle genannt</t>
        </is>
      </c>
      <c r="J35" s="26" t="inlineStr">
        <is>
          <t>frei</t>
        </is>
      </c>
      <c r="K35" s="26" t="n"/>
      <c r="L35" s="26" t="inlineStr">
        <is>
          <t>DGUV Regel 110-003</t>
        </is>
      </c>
      <c r="M35" s="26" t="n"/>
      <c r="N35" s="26" t="inlineStr">
        <is>
          <t>plausibel</t>
        </is>
      </c>
      <c r="O35" s="27" t="inlineStr">
        <is>
          <t>umgesetzt</t>
        </is>
      </c>
      <c r="P35" s="27" t="inlineStr">
        <is>
          <t>Inhalt unverändert; Fundstelle der Durchsicht übernommen.</t>
        </is>
      </c>
    </row>
    <row r="36" ht="53.7" customHeight="1" s="17">
      <c r="A36" s="26" t="inlineStr">
        <is>
          <t>B-035</t>
        </is>
      </c>
      <c r="B36" s="26" t="inlineStr">
        <is>
          <t>Gastronomie / Café</t>
        </is>
      </c>
      <c r="C36" s="26" t="inlineStr">
        <is>
          <t>Gefährdungsbeurteilung</t>
        </is>
      </c>
      <c r="D36" s="26" t="inlineStr">
        <is>
          <t>Gefährdungen</t>
        </is>
      </c>
      <c r="E36" s="26" t="inlineStr">
        <is>
          <t>Verbrennungen und Verbrühungen an heißen Oberflächen, durch Dampf und heiße Flüssigkeiten.</t>
        </is>
      </c>
      <c r="F36" s="26" t="inlineStr">
        <is>
          <t>Faktor: Physikalische, chemische und biologische Einwirkungen Maßnahmen: Druckgargeräte mit sicherer Dampf- und Heißwasserableitung; Deckelgriffe seitlich. Vor dem Öffnen von Druckgarern Druckausgleich herstellen; Behälter an den schmalen Seiten fassen. Hitzeschutzhandschuhe tragen.</t>
        </is>
      </c>
      <c r="G36" s="26" t="n"/>
      <c r="H36" s="26" t="inlineStr">
        <is>
          <t>DGUV Regel 110-003, Abschn. 3.3.1, 3.3.2</t>
        </is>
      </c>
      <c r="I36" s="26" t="inlineStr">
        <is>
          <t>Quelle genannt</t>
        </is>
      </c>
      <c r="J36" s="26" t="inlineStr">
        <is>
          <t>frei</t>
        </is>
      </c>
      <c r="K36" s="26" t="n"/>
      <c r="L36" s="26" t="inlineStr">
        <is>
          <t>DGUV Regel 110-003</t>
        </is>
      </c>
      <c r="M36" s="26" t="n"/>
      <c r="N36" s="26" t="inlineStr">
        <is>
          <t>plausibel</t>
        </is>
      </c>
      <c r="O36" s="27" t="inlineStr">
        <is>
          <t>umgesetzt</t>
        </is>
      </c>
      <c r="P36" s="27" t="inlineStr">
        <is>
          <t>Inhalt unverändert; Fundstelle der Durchsicht übernommen.</t>
        </is>
      </c>
    </row>
    <row r="37" ht="64.15000000000001" customHeight="1" s="17">
      <c r="A37" s="26" t="inlineStr">
        <is>
          <t>B-036</t>
        </is>
      </c>
      <c r="B37" s="26" t="inlineStr">
        <is>
          <t>Gastronomie / Café</t>
        </is>
      </c>
      <c r="C37" s="26" t="inlineStr">
        <is>
          <t>Gefährdungsbeurteilung</t>
        </is>
      </c>
      <c r="D37" s="26" t="inlineStr">
        <is>
          <t>Gefährdungen</t>
        </is>
      </c>
      <c r="E37" s="26" t="inlineStr">
        <is>
          <t>Fettbrand und Fettexplosion an Fritteusen durch Überhitzung oder Wassereintrag.</t>
        </is>
      </c>
      <c r="F37" s="26" t="inlineStr">
        <is>
          <t>Faktor: Sonstige Gefährdungen Maßnahmen: Abstand bzw. Abtrennung zu wasserführenden Geräten; keine Wasserzapfstelle in der Nähe. Feuerlöscher der Brandklasse F bereitstellen (bis 50 l Fett mindestens ein geeigneter Löscher). Fritteusen nie unbeaufsichtigt betreiben; Fett rechtzeitig wechseln; eine im Löschen geübte Person muss anwesend sein.</t>
        </is>
      </c>
      <c r="G37" s="26" t="inlineStr">
        <is>
          <t>bis 50 l</t>
        </is>
      </c>
      <c r="H37" s="26" t="inlineStr">
        <is>
          <t>DGUV Regel 110-003, Abschn. 3.3.1</t>
        </is>
      </c>
      <c r="I37" s="26" t="inlineStr">
        <is>
          <t>Quelle genannt</t>
        </is>
      </c>
      <c r="J37" s="26" t="inlineStr">
        <is>
          <t>ändern</t>
        </is>
      </c>
      <c r="K37" s="26" t="inlineStr">
        <is>
          <t>„Fettbrandlöscher Klasse F mit Löschvermögen ≥ Fettmenge + 25 % Reserve (z. B. 20 l → 25 F). 50–100 l: zusätzlich benannte, geübte Person und ständige Beobachtung oder ortsfeste Löscheinrichtung; über 100 l: ortsfeste Löscheinrichtung.“</t>
        </is>
      </c>
      <c r="L37" s="26" t="inlineStr">
        <is>
          <t>BGN ASI 2.15 Nr. 4 (Brandbekämpfung); DGUV Regel 110-003 Abschn. 3.3.1</t>
        </is>
      </c>
      <c r="M37" s="26" t="inlineStr">
        <is>
          <t>Heutiger Text vermischt die Stufen; „geübte Person“ gilt erst ab 50 l (nachgelesen).</t>
        </is>
      </c>
      <c r="N37" s="26" t="inlineStr">
        <is>
          <t>bestätigt</t>
        </is>
      </c>
      <c r="O37" s="27" t="inlineStr">
        <is>
          <t>umgesetzt</t>
        </is>
      </c>
      <c r="P37" s="27" t="inlineStr">
        <is>
          <t>In drei Vorschläge nach Fettmenge geteilt (bis 50 l, 50–100 l, über 100 l) nach BGN ASI 2.15 Nr. 4; Löschvermögen Fettmenge + 25 %; geübte Person erst ab 50 l; Schwere „schwer“ vorgeschlagen.</t>
        </is>
      </c>
    </row>
    <row r="38" ht="53.7" customHeight="1" s="17">
      <c r="A38" s="26" t="inlineStr">
        <is>
          <t>B-037</t>
        </is>
      </c>
      <c r="B38" s="26" t="inlineStr">
        <is>
          <t>Gastronomie / Café</t>
        </is>
      </c>
      <c r="C38" s="26" t="inlineStr">
        <is>
          <t>Gefährdungsbeurteilung</t>
        </is>
      </c>
      <c r="D38" s="26" t="inlineStr">
        <is>
          <t>Gefährdungen</t>
        </is>
      </c>
      <c r="E38" s="26" t="inlineStr">
        <is>
          <t>Hautbelastung durch Wasser und Reinigungsmittel (Feuchtarbeit), insbesondere in der Spülküche.</t>
        </is>
      </c>
      <c r="F38" s="26" t="inlineStr">
        <is>
          <t>Faktor: Physikalische, chemische und biologische Einwirkungen Maßnahmen: Wasserkontakt und Handschuhtragezeiten begrenzen. Hautschutzplan aufstellen (wann welche Handschuhe und Pflege). Baumwoll-Unterziehhandschuhe unter flüssigkeitsdichten Handschuhen; pH-hautneutrales Flüssigsyndet.</t>
        </is>
      </c>
      <c r="G38" s="26" t="n"/>
      <c r="H38" s="26" t="inlineStr">
        <is>
          <t>DGUV Regel 110-003, Abschn. 3.2, 3.5</t>
        </is>
      </c>
      <c r="I38" s="26" t="inlineStr">
        <is>
          <t>Quelle genannt</t>
        </is>
      </c>
      <c r="J38" s="26" t="inlineStr">
        <is>
          <t>ändern</t>
        </is>
      </c>
      <c r="K38" s="26" t="inlineStr">
        <is>
          <t>Feuchtarbeits-Schwellen ergänzen (&gt; 2 Std. Angebot, ≥ 4 Std. Pflichtvorsorge).</t>
        </is>
      </c>
      <c r="L38" s="26" t="inlineStr">
        <is>
          <t>DGUV Regel 110-003; TRGS 401; ArbMedVV Anh. Teil 1</t>
        </is>
      </c>
      <c r="M38" s="26" t="n"/>
      <c r="N38" s="26" t="inlineStr">
        <is>
          <t>bestätigt</t>
        </is>
      </c>
      <c r="O38" s="27" t="inlineStr">
        <is>
          <t>umgesetzt</t>
        </is>
      </c>
      <c r="P38" s="27" t="inlineStr">
        <is>
          <t>Korrektur übernommen, Fundstelle ersetzt.</t>
        </is>
      </c>
    </row>
    <row r="39" ht="64.15000000000001" customHeight="1" s="17">
      <c r="A39" s="26" t="inlineStr">
        <is>
          <t>B-038</t>
        </is>
      </c>
      <c r="B39" s="26" t="inlineStr">
        <is>
          <t>Gastronomie / Café</t>
        </is>
      </c>
      <c r="C39" s="26" t="inlineStr">
        <is>
          <t>Gefährdungsbeurteilung</t>
        </is>
      </c>
      <c r="D39" s="26" t="inlineStr">
        <is>
          <t>Gefährdungen</t>
        </is>
      </c>
      <c r="E39" s="26" t="inlineStr">
        <is>
          <t>Verätzungen und Reizungen durch Reinigungsmittel sowie Dämpfe und Aerosole beim Reinigen.</t>
        </is>
      </c>
      <c r="F39" s="26" t="inlineStr">
        <is>
          <t>Faktor: Physikalische, chemische und biologische Einwirkungen Maßnahmen: Reiniger mit möglichst geringem Gefährdungspotenzial einsetzen. Ausreichende Belüftung; Sprühlanze statt Hochdruckreiniger. Nach Anleitung dosieren; Betriebsanweisung und Unterweisung zu Reinigungsmitteln. Schutzhandschuhe tragen.</t>
        </is>
      </c>
      <c r="G39" s="26" t="n"/>
      <c r="H39" s="26" t="inlineStr">
        <is>
          <t>DGUV Regel 110-003, Abschn. 3.7</t>
        </is>
      </c>
      <c r="I39" s="26" t="inlineStr">
        <is>
          <t>Quelle genannt</t>
        </is>
      </c>
      <c r="J39" s="26" t="inlineStr">
        <is>
          <t>frei</t>
        </is>
      </c>
      <c r="K39" s="26" t="n"/>
      <c r="L39" s="26" t="inlineStr">
        <is>
          <t>DGUV Regel 110-003; GefStoffV § 7</t>
        </is>
      </c>
      <c r="M39" s="26" t="n"/>
      <c r="N39" s="26" t="inlineStr">
        <is>
          <t>plausibel</t>
        </is>
      </c>
      <c r="O39" s="27" t="inlineStr">
        <is>
          <t>umgesetzt</t>
        </is>
      </c>
      <c r="P39" s="27" t="inlineStr">
        <is>
          <t>Inhalt unverändert; Fundstelle der Durchsicht übernommen.</t>
        </is>
      </c>
    </row>
    <row r="40" ht="53.7" customHeight="1" s="17">
      <c r="A40" s="26" t="inlineStr">
        <is>
          <t>B-039</t>
        </is>
      </c>
      <c r="B40" s="26" t="inlineStr">
        <is>
          <t>Gastronomie / Café</t>
        </is>
      </c>
      <c r="C40" s="26" t="inlineStr">
        <is>
          <t>Gefährdungsbeurteilung</t>
        </is>
      </c>
      <c r="D40" s="26" t="inlineStr">
        <is>
          <t>Gefährdungen</t>
        </is>
      </c>
      <c r="E40" s="26" t="inlineStr">
        <is>
          <t>Lärm in der Spülküche durch Geschirr und Geschirrwagen.</t>
        </is>
      </c>
      <c r="F40" s="26" t="inlineStr">
        <is>
          <t>Faktor: Physikalische, chemische und biologische Einwirkungen Maßnahmen: Lärmarme Geschirrwagen und Räder; raumakustische Maßnahmen. Arbeitsmedizinische Vorsorge anbieten, wenn 80 dB(A) erreicht werden. Gehörschutz ab einem Expositionspegel von 80 dB(A) bereitstellen.</t>
        </is>
      </c>
      <c r="G40" s="26" t="inlineStr">
        <is>
          <t>80 dB(A)</t>
        </is>
      </c>
      <c r="H40" s="26" t="inlineStr">
        <is>
          <t>DGUV Regel 110-003, Abschn. 3.5</t>
        </is>
      </c>
      <c r="I40" s="26" t="inlineStr">
        <is>
          <t>Quelle genannt</t>
        </is>
      </c>
      <c r="J40" s="26" t="inlineStr">
        <is>
          <t>ändern</t>
        </is>
      </c>
      <c r="K40" s="26" t="inlineStr">
        <is>
          <t>Ergänzen: „ab 85 dB(A) Gehörschutz-Tragepflicht, Lärmbereich kennzeichnen.“</t>
        </is>
      </c>
      <c r="L40" s="26" t="inlineStr">
        <is>
          <t>§§ 7, 8 LärmVibrationsArbSchV; ArbMedVV Anh. Teil 3</t>
        </is>
      </c>
      <c r="M40" s="26" t="inlineStr">
        <is>
          <t>Obere Auslösewerte fehlen.</t>
        </is>
      </c>
      <c r="N40" s="26" t="inlineStr">
        <is>
          <t>bestätigt</t>
        </is>
      </c>
      <c r="O40" s="27" t="inlineStr">
        <is>
          <t>umgesetzt</t>
        </is>
      </c>
      <c r="P40" s="27" t="inlineStr">
        <is>
          <t>Korrektur übernommen, Fundstelle ersetzt.</t>
        </is>
      </c>
    </row>
    <row r="41" ht="64.15000000000001" customHeight="1" s="17">
      <c r="A41" s="26" t="inlineStr">
        <is>
          <t>B-040</t>
        </is>
      </c>
      <c r="B41" s="26" t="inlineStr">
        <is>
          <t>Gastronomie / Café</t>
        </is>
      </c>
      <c r="C41" s="26" t="inlineStr">
        <is>
          <t>Gefährdungsbeurteilung</t>
        </is>
      </c>
      <c r="D41" s="26" t="inlineStr">
        <is>
          <t>Gefährdungen</t>
        </is>
      </c>
      <c r="E41" s="26" t="inlineStr">
        <is>
          <t>Muskel-Skelett-Belastung durch Heben und Tragen schwerer Gebinde und Kochgeschirre.</t>
        </is>
      </c>
      <c r="F41" s="26" t="inlineStr">
        <is>
          <t>Faktor: Gestaltung von Arbeits- und Fertigungsverfahren, Arbeitsabläufen und Arbeitszeit und deren Zusammenwirken Maßnahmen: Transporthilfsmittel und Transportwagen nutzen; kleinere Gebinde einkaufen. Schwere Lasten zu zweit tragen; Belastung mit der Leitmerkmalmethode beurteilen. Sicherheitsschuhe beim Transport schwerer Gebinde.</t>
        </is>
      </c>
      <c r="G41" s="26" t="n"/>
      <c r="H41" s="26" t="inlineStr">
        <is>
          <t>DGUV Regel 110-003, Abschn. 3.1, 3.3.2, 3.4</t>
        </is>
      </c>
      <c r="I41" s="26" t="inlineStr">
        <is>
          <t>Quelle genannt</t>
        </is>
      </c>
      <c r="J41" s="26" t="inlineStr">
        <is>
          <t>frei</t>
        </is>
      </c>
      <c r="K41" s="26" t="inlineStr">
        <is>
          <t>Faktor: „Gestaltung von Arbeitsverfahren“ korrekt.</t>
        </is>
      </c>
      <c r="L41" s="26" t="inlineStr">
        <is>
          <t>LasthandhabV; DGUV Regel 110-003</t>
        </is>
      </c>
      <c r="M41" s="26" t="n"/>
      <c r="N41" s="26" t="inlineStr">
        <is>
          <t>plausibel</t>
        </is>
      </c>
      <c r="O41" s="27" t="inlineStr">
        <is>
          <t>umgesetzt</t>
        </is>
      </c>
      <c r="P41" s="27" t="inlineStr">
        <is>
          <t>Inhalt unverändert; Fundstelle der Durchsicht übernommen. Hinweis „Faktor: „Gestaltung von Arbeitsverfahren“ korrekt.“ berücksichtigt.</t>
        </is>
      </c>
    </row>
    <row r="42" ht="43.25" customHeight="1" s="17">
      <c r="A42" s="26" t="inlineStr">
        <is>
          <t>B-041</t>
        </is>
      </c>
      <c r="B42" s="26" t="inlineStr">
        <is>
          <t>Gastronomie / Café</t>
        </is>
      </c>
      <c r="C42" s="26" t="inlineStr">
        <is>
          <t>Gefährdungsbeurteilung</t>
        </is>
      </c>
      <c r="D42" s="26" t="inlineStr">
        <is>
          <t>Gefährdungen</t>
        </is>
      </c>
      <c r="E42" s="26" t="inlineStr">
        <is>
          <t>Umkippen oder Herabfallen von Lagergut.</t>
        </is>
      </c>
      <c r="F42" s="26" t="inlineStr">
        <is>
          <t>Faktor: Gestaltung und Einrichtung der Arbeitsstätte und des Arbeitsplatzes Maßnahmen: Regale standsicher aufstellen. Schwere Lasten unten, leichtere oben lagern; Lagerbereiche eindeutig zuweisen.</t>
        </is>
      </c>
      <c r="G42" s="26" t="n"/>
      <c r="H42" s="26" t="inlineStr">
        <is>
          <t>DGUV Regel 110-003, Abschn. 3.1</t>
        </is>
      </c>
      <c r="I42" s="26" t="inlineStr">
        <is>
          <t>Quelle genannt</t>
        </is>
      </c>
      <c r="J42" s="26" t="inlineStr">
        <is>
          <t>frei</t>
        </is>
      </c>
      <c r="K42" s="26" t="n"/>
      <c r="L42" s="26" t="inlineStr">
        <is>
          <t>DGUV Regel 110-003; DIN EN 15635 (Regalinspektion)</t>
        </is>
      </c>
      <c r="M42" s="26" t="n"/>
      <c r="N42" s="26" t="inlineStr">
        <is>
          <t>plausibel</t>
        </is>
      </c>
      <c r="O42" s="27" t="inlineStr">
        <is>
          <t>umgesetzt</t>
        </is>
      </c>
      <c r="P42" s="27" t="inlineStr">
        <is>
          <t>Inhalt unverändert; Fundstelle der Durchsicht übernommen.</t>
        </is>
      </c>
    </row>
    <row r="43" ht="43.25" customHeight="1" s="17">
      <c r="A43" s="26" t="inlineStr">
        <is>
          <t>B-042</t>
        </is>
      </c>
      <c r="B43" s="26" t="inlineStr">
        <is>
          <t>Gastronomie / Café</t>
        </is>
      </c>
      <c r="C43" s="26" t="inlineStr">
        <is>
          <t>Gefährdungsbeurteilung</t>
        </is>
      </c>
      <c r="D43" s="26" t="inlineStr">
        <is>
          <t>Gefährdungen</t>
        </is>
      </c>
      <c r="E43" s="26" t="inlineStr">
        <is>
          <t>Psychische Belastung durch Zeitdruck, Gästekontakt, Beschwerden und Aggression.</t>
        </is>
      </c>
      <c r="F43" s="26" t="inlineStr">
        <is>
          <t>Faktor: Psychische Belastungen bei der Arbeit Maßnahmen: Arbeitsabläufe, Aufgaben und Pausen eindeutig festlegen; Arbeitsplatzrotation. Schulung im Umgang mit Gästen, Beschwerden und Aggression; Übergriffe melden.</t>
        </is>
      </c>
      <c r="G43" s="26" t="n"/>
      <c r="H43" s="26" t="inlineStr">
        <is>
          <t>DGUV Regel 110-003, Abschn. 3.4</t>
        </is>
      </c>
      <c r="I43" s="26" t="inlineStr">
        <is>
          <t>Quelle genannt</t>
        </is>
      </c>
      <c r="J43" s="26" t="inlineStr">
        <is>
          <t>frei</t>
        </is>
      </c>
      <c r="K43" s="26" t="n"/>
      <c r="L43" s="26" t="inlineStr">
        <is>
          <t>DGUV Regel 110-003</t>
        </is>
      </c>
      <c r="M43" s="26" t="n"/>
      <c r="N43" s="26" t="inlineStr">
        <is>
          <t>plausibel</t>
        </is>
      </c>
      <c r="O43" s="27" t="inlineStr">
        <is>
          <t>umgesetzt</t>
        </is>
      </c>
      <c r="P43" s="27" t="inlineStr">
        <is>
          <t>Inhalt unverändert; Fundstelle der Durchsicht übernommen.</t>
        </is>
      </c>
    </row>
    <row r="44" ht="74.59999999999999" customHeight="1" s="17">
      <c r="A44" s="26" t="inlineStr">
        <is>
          <t>B-043</t>
        </is>
      </c>
      <c r="B44" s="26" t="inlineStr">
        <is>
          <t>Gastronomie / Café</t>
        </is>
      </c>
      <c r="C44" s="26" t="inlineStr">
        <is>
          <t>Gefährdungsbeurteilung</t>
        </is>
      </c>
      <c r="D44" s="26" t="inlineStr">
        <is>
          <t>Gefährdungen</t>
        </is>
      </c>
      <c r="E44" s="26" t="inlineStr">
        <is>
          <t>Unerkannte Mängel und Verschleiß an Geräten und Schutzeinrichtungen.</t>
        </is>
      </c>
      <c r="F44" s="26" t="inlineStr">
        <is>
          <t>Faktor: Gestaltung, Auswahl und Einsatz von Arbeitsmitteln (Arbeitsstoffe, Maschinen, Geräte, Anlagen) und der Umgang damit Maßnahmen: Wartung nach Herstellerangaben; Instandhaltung nur durch fachkundiges Personal. Wiederkehrende Prüfungen über die Gefährdungsbeurteilung festlegen (befähigte Personen). Sicherheitseinrichtungen arbeitstäglich vor Arbeitsbeginn auf Funktion prüfen.</t>
        </is>
      </c>
      <c r="G44" s="26" t="n"/>
      <c r="H44" s="26" t="inlineStr">
        <is>
          <t>DGUV Regel 110-003, Abschn. 3.8</t>
        </is>
      </c>
      <c r="I44" s="26" t="inlineStr">
        <is>
          <t>Quelle genannt</t>
        </is>
      </c>
      <c r="J44" s="26" t="inlineStr">
        <is>
          <t>frei</t>
        </is>
      </c>
      <c r="K44" s="26" t="n"/>
      <c r="L44" s="26" t="inlineStr">
        <is>
          <t>§§ 3 Abs. 6, 14 BetrSichV</t>
        </is>
      </c>
      <c r="M44" s="26" t="n"/>
      <c r="N44" s="26" t="inlineStr">
        <is>
          <t>plausibel</t>
        </is>
      </c>
      <c r="O44" s="27" t="inlineStr">
        <is>
          <t>umgesetzt</t>
        </is>
      </c>
      <c r="P44" s="27" t="inlineStr">
        <is>
          <t>Inhalt unverändert; Fundstelle der Durchsicht übernommen.</t>
        </is>
      </c>
    </row>
    <row r="45" ht="85.05" customHeight="1" s="17">
      <c r="A45" s="26" t="inlineStr">
        <is>
          <t>B-044</t>
        </is>
      </c>
      <c r="B45" s="26" t="inlineStr">
        <is>
          <t>Handwerk / Bau (inkl. Holz / Tischlerei)</t>
        </is>
      </c>
      <c r="C45" s="26" t="inlineStr">
        <is>
          <t>Gefährdungsbeurteilung</t>
        </is>
      </c>
      <c r="D45" s="26" t="inlineStr">
        <is>
          <t>Gefährdungen</t>
        </is>
      </c>
      <c r="E45" s="26" t="inlineStr">
        <is>
          <t>Absturz von Anlege- oder Stehleitern durch Standunsicherheit, Abrutschen oder schadhafte Leitern.</t>
        </is>
      </c>
      <c r="F45" s="26" t="inlineStr">
        <is>
          <t>Faktor: Gestaltung, Auswahl und Einsatz von Arbeitsmitteln (Arbeitsstoffe, Maschinen, Geräte, Anlagen) und der Umgang damit Maßnahmen: Leitern nur einsetzen, wenn kein sichereres Arbeitsmittel möglich ist. Anlegeleitern gegen Ausgleiten sichern (Anlegewinkel 65–75° bei Sprossen), 1 m überstehen lassen; Stehleitern nur mit Spreizsicherung, oberste Stufen nicht betreten. Leitern jährlich prüfen und im Prüfbuch dokumentieren; schadhafte Leitern aussondern.</t>
        </is>
      </c>
      <c r="G45" s="26" t="inlineStr">
        <is>
          <t>1 m</t>
        </is>
      </c>
      <c r="H45" s="26" t="inlineStr">
        <is>
          <t>BG BAU Bausteine B 131, B 132 (Stand 07/2021); BG ETEM S285 (Stand 11/23)</t>
        </is>
      </c>
      <c r="I45" s="26" t="inlineStr">
        <is>
          <t>Quelle genannt</t>
        </is>
      </c>
      <c r="J45" s="26" t="inlineStr">
        <is>
          <t>ändern</t>
        </is>
      </c>
      <c r="K45" s="26" t="inlineStr">
        <is>
          <t>„Leitern jährlich prüfen“ → „regelmäßig durch befähigte Person prüfen; Frist nach GB (i. d. R. jährlich)“. Stufenanlegeleitern 60–70°.</t>
        </is>
      </c>
      <c r="L45" s="26" t="inlineStr">
        <is>
          <t>DGUV Information 208-016; § 3 Abs. 6, § 14 BetrSichV</t>
        </is>
      </c>
      <c r="M45" s="26" t="inlineStr">
        <is>
          <t>Jährlich ist keine feste Rechtsfrist.</t>
        </is>
      </c>
      <c r="N45" s="26" t="inlineStr">
        <is>
          <t>plausibel</t>
        </is>
      </c>
      <c r="O45" s="27" t="inlineStr">
        <is>
          <t>umgesetzt</t>
        </is>
      </c>
      <c r="P45" s="27" t="inlineStr">
        <is>
          <t>Korrektur übernommen, Fundstelle ersetzt.</t>
        </is>
      </c>
    </row>
    <row r="46" ht="53.7" customHeight="1" s="17">
      <c r="A46" s="26" t="inlineStr">
        <is>
          <t>B-045</t>
        </is>
      </c>
      <c r="B46" s="26" t="inlineStr">
        <is>
          <t>Handwerk / Bau (inkl. Holz / Tischlerei)</t>
        </is>
      </c>
      <c r="C46" s="26" t="inlineStr">
        <is>
          <t>Gefährdungsbeurteilung</t>
        </is>
      </c>
      <c r="D46" s="26" t="inlineStr">
        <is>
          <t>Gefährdungen</t>
        </is>
      </c>
      <c r="E46" s="26" t="inlineStr">
        <is>
          <t>Absturz an Kanten, Öffnungen und Treppenläufen.</t>
        </is>
      </c>
      <c r="F46" s="26" t="inlineStr">
        <is>
          <t>Faktor: Gestaltung und Einrichtung der Arbeitsstätte und des Arbeitsplatzes Maßnahmen: Seitenschutz an Treppenläufen, Wandöffnungen und Verkehrswegen ab 1,00 m, an übrigen Arbeitsplätzen ab 2,00 m Absturzhöhe. Öffnungen umwehren oder fest abdecken.</t>
        </is>
      </c>
      <c r="G46" s="26" t="inlineStr">
        <is>
          <t>ab 1,00 m; ab 2,00 m</t>
        </is>
      </c>
      <c r="H46" s="26" t="inlineStr">
        <is>
          <t>BG BAU Baustein B 100</t>
        </is>
      </c>
      <c r="I46" s="26" t="inlineStr">
        <is>
          <t>Quelle genannt</t>
        </is>
      </c>
      <c r="J46" s="26" t="inlineStr">
        <is>
          <t>frei</t>
        </is>
      </c>
      <c r="K46" s="26" t="inlineStr">
        <is>
          <t>Primärquelle ergänzen.</t>
        </is>
      </c>
      <c r="L46" s="26" t="inlineStr">
        <is>
          <t>ASR A2.1 Nr. 4.1; BG BAU</t>
        </is>
      </c>
      <c r="M46" s="26" t="n"/>
      <c r="N46" s="26" t="inlineStr">
        <is>
          <t>plausibel</t>
        </is>
      </c>
      <c r="O46" s="27" t="inlineStr">
        <is>
          <t>umgesetzt</t>
        </is>
      </c>
      <c r="P46" s="27" t="inlineStr">
        <is>
          <t>Inhalt unverändert; Fundstelle der Durchsicht übernommen. Hinweis „Primärquelle ergänzen.“ berücksichtigt.</t>
        </is>
      </c>
    </row>
    <row r="47" ht="85.05" customHeight="1" s="17">
      <c r="A47" s="26" t="inlineStr">
        <is>
          <t>B-046</t>
        </is>
      </c>
      <c r="B47" s="26" t="inlineStr">
        <is>
          <t>Handwerk / Bau (inkl. Holz / Tischlerei)</t>
        </is>
      </c>
      <c r="C47" s="26" t="inlineStr">
        <is>
          <t>Gefährdungsbeurteilung</t>
        </is>
      </c>
      <c r="D47" s="26" t="inlineStr">
        <is>
          <t>Gefährdungen</t>
        </is>
      </c>
      <c r="E47" s="26" t="inlineStr">
        <is>
          <t>Gehörschäden durch Lärm von Maschinen und Werkzeugen.</t>
        </is>
      </c>
      <c r="F47" s="26" t="inlineStr">
        <is>
          <t>Faktor: Physikalische, chemische und biologische Einwirkungen Maßnahmen: Lärmarme Verfahren und lärmgeminderte Geräte einsetzen; Maschinen warten (scharfe Werkzeuge, intakte Gehäuse). Ab dem oberen Auslösewert (85 dB(A)) Lärmbereiche kennzeichnen und Lärmminderungsprogramm aufstellen; ab dem unteren Auslösewert (80 dB(A)) unterweisen und Vorsorge anbieten. Gehörschutz ab 80 dB(A) bereitstellen, ab 85 dB(A) tragen.</t>
        </is>
      </c>
      <c r="G47" s="26" t="inlineStr">
        <is>
          <t>85 dB(A); 80 dB(A); ab 80 dB(A); ab 85 dB(A)</t>
        </is>
      </c>
      <c r="H47" s="26" t="inlineStr">
        <is>
          <t>DGUV-Handlungshilfe „Lärm in der Bauwirtschaft“, Stand 02/2011 (Auslösewerte nach LärmVibrationsArbSchV)</t>
        </is>
      </c>
      <c r="I47" s="26" t="inlineStr">
        <is>
          <t>Quelle genannt</t>
        </is>
      </c>
      <c r="J47" s="26" t="inlineStr">
        <is>
          <t>frei</t>
        </is>
      </c>
      <c r="K47" s="26" t="n"/>
      <c r="L47" s="26" t="inlineStr">
        <is>
          <t>§§ 6–8 LärmVibrationsArbSchV; ArbMedVV Anh. Teil 3</t>
        </is>
      </c>
      <c r="M47" s="26" t="inlineStr">
        <is>
          <t>Werte bestätigt.</t>
        </is>
      </c>
      <c r="N47" s="26" t="inlineStr">
        <is>
          <t>bestätigt</t>
        </is>
      </c>
      <c r="O47" s="27" t="inlineStr">
        <is>
          <t>umgesetzt</t>
        </is>
      </c>
      <c r="P47" s="27" t="inlineStr">
        <is>
          <t>Inhalt unverändert; Fundstelle der Durchsicht übernommen.</t>
        </is>
      </c>
    </row>
    <row r="48" ht="64.15000000000001" customHeight="1" s="17">
      <c r="A48" s="26" t="inlineStr">
        <is>
          <t>B-047</t>
        </is>
      </c>
      <c r="B48" s="26" t="inlineStr">
        <is>
          <t>Handwerk / Bau (inkl. Holz / Tischlerei)</t>
        </is>
      </c>
      <c r="C48" s="26" t="inlineStr">
        <is>
          <t>Gefährdungsbeurteilung</t>
        </is>
      </c>
      <c r="D48" s="26" t="inlineStr">
        <is>
          <t>Gefährdungen</t>
        </is>
      </c>
      <c r="E48" s="26" t="inlineStr">
        <is>
          <t>Einatmen von mineralischem, quarzhaltigem Staub beim Schneiden, Schleifen und Bohren.</t>
        </is>
      </c>
      <c r="F48" s="26" t="inlineStr">
        <is>
          <t>Faktor: Physikalische, chemische und biologische Einwirkungen Maßnahmen: Quarzärmere Materialien prüfen. Staubarme Verfahren und direkt abgesaugte Geräte mit Entstauber mindestens Klasse M; Nassbearbeitung. Mit Industriesaugern (Klasse M oder höher) reinigen statt Kehren oder Abblasen mit Druckluft.</t>
        </is>
      </c>
      <c r="G48" s="26" t="n"/>
      <c r="H48" s="26" t="inlineStr">
        <is>
          <t>BG BAU Baustein C 317, Stand 07/2021</t>
        </is>
      </c>
      <c r="I48" s="26" t="inlineStr">
        <is>
          <t>Quelle genannt</t>
        </is>
      </c>
      <c r="J48" s="26" t="inlineStr">
        <is>
          <t>frei</t>
        </is>
      </c>
      <c r="K48" s="26" t="inlineStr">
        <is>
          <t>Primärquelle ergänzen; Atemschutz als letzte Stufe.</t>
        </is>
      </c>
      <c r="L48" s="26" t="inlineStr">
        <is>
          <t>TRGS 559; BG BAU C 317</t>
        </is>
      </c>
      <c r="M48" s="26" t="n"/>
      <c r="N48" s="26" t="inlineStr">
        <is>
          <t>plausibel</t>
        </is>
      </c>
      <c r="O48" s="27" t="inlineStr">
        <is>
          <t>umgesetzt</t>
        </is>
      </c>
      <c r="P48" s="27" t="inlineStr">
        <is>
          <t>Inhalt unverändert; Fundstelle der Durchsicht übernommen. Hinweis „Primärquelle ergänzen; Atemschutz als letzte Stufe.“ berücksichtigt.</t>
        </is>
      </c>
    </row>
    <row r="49" ht="53.7" customHeight="1" s="17">
      <c r="A49" s="26" t="inlineStr">
        <is>
          <t>B-048</t>
        </is>
      </c>
      <c r="B49" s="26" t="inlineStr">
        <is>
          <t>Handwerk / Bau (inkl. Holz / Tischlerei)</t>
        </is>
      </c>
      <c r="C49" s="26" t="inlineStr">
        <is>
          <t>Gefährdungsbeurteilung</t>
        </is>
      </c>
      <c r="D49" s="26" t="inlineStr">
        <is>
          <t>Gefährdungen</t>
        </is>
      </c>
      <c r="E49" s="26" t="inlineStr">
        <is>
          <t>Gesundheitsschäden durch Gefahrstoffe (z. B. Lösemittel, Säuren, Laugen).</t>
        </is>
      </c>
      <c r="F49" s="26" t="inlineStr">
        <is>
          <t>Faktor: Physikalische, chemische und biologische Einwirkungen Maßnahmen: Prüfen, ob Stoffe durch weniger schädliche ersetzt werden können. Sicherheitsdatenblatt für jeden Gefahrstoff bereithalten; Betriebsanweisung erstellen. Beschäftigte tätigkeitsbezogen anhand der Betriebsanweisung unterweisen.</t>
        </is>
      </c>
      <c r="G49" s="26" t="n"/>
      <c r="H49" s="26" t="inlineStr">
        <is>
          <t>BG ETEM</t>
        </is>
      </c>
      <c r="I49" s="26" t="inlineStr">
        <is>
          <t>Quelle genannt</t>
        </is>
      </c>
      <c r="J49" s="26" t="inlineStr">
        <is>
          <t>frei</t>
        </is>
      </c>
      <c r="K49" s="26" t="n"/>
      <c r="L49" s="26" t="inlineStr">
        <is>
          <t>GefStoffV §§ 6, 7, 14</t>
        </is>
      </c>
      <c r="M49" s="26" t="n"/>
      <c r="N49" s="26" t="inlineStr">
        <is>
          <t>plausibel</t>
        </is>
      </c>
      <c r="O49" s="27" t="inlineStr">
        <is>
          <t>umgesetzt</t>
        </is>
      </c>
      <c r="P49" s="27" t="inlineStr">
        <is>
          <t>Inhalt unverändert; Fundstelle der Durchsicht übernommen.</t>
        </is>
      </c>
    </row>
    <row r="50" ht="74.59999999999999" customHeight="1" s="17">
      <c r="A50" s="26" t="inlineStr">
        <is>
          <t>B-049</t>
        </is>
      </c>
      <c r="B50" s="26" t="inlineStr">
        <is>
          <t>Handwerk / Bau (inkl. Holz / Tischlerei)</t>
        </is>
      </c>
      <c r="C50" s="26" t="inlineStr">
        <is>
          <t>Gefährdungsbeurteilung</t>
        </is>
      </c>
      <c r="D50" s="26" t="inlineStr">
        <is>
          <t>Gefährdungen</t>
        </is>
      </c>
      <c r="E50" s="26" t="inlineStr">
        <is>
          <t>Hautgefährdung durch Baustoffe, Reinigungsmittel und Feuchtigkeit.</t>
        </is>
      </c>
      <c r="F50" s="26" t="inlineStr">
        <is>
          <t>Faktor: Physikalische, chemische und biologische Einwirkungen Maßnahmen: Ersatzstoffe bzw. Verfahren mit weniger Hautkontakt prüfen. Chemikalienschutzhandschuhe mit passender Durchbruchszeit tragen; bei Schwitzen Baumwoll-Unterziehhandschuhe. Hautschutzplan: Hautschutzmittel vor Exposition, schonende Reinigung, Hautpflege in Pausen und nach der Arbeit.</t>
        </is>
      </c>
      <c r="G50" s="26" t="n"/>
      <c r="H50" s="26" t="inlineStr">
        <is>
          <t>BG BAU</t>
        </is>
      </c>
      <c r="I50" s="26" t="inlineStr">
        <is>
          <t>Quelle genannt</t>
        </is>
      </c>
      <c r="J50" s="26" t="inlineStr">
        <is>
          <t>frei</t>
        </is>
      </c>
      <c r="K50" s="26" t="inlineStr">
        <is>
          <t>Ergänzen: chromatarmer Zement.</t>
        </is>
      </c>
      <c r="L50" s="26" t="inlineStr">
        <is>
          <t>TRGS 401; BG BAU</t>
        </is>
      </c>
      <c r="M50" s="26" t="n"/>
      <c r="N50" s="26" t="inlineStr">
        <is>
          <t>plausibel</t>
        </is>
      </c>
      <c r="O50" s="27" t="inlineStr">
        <is>
          <t>umgesetzt</t>
        </is>
      </c>
      <c r="P50" s="27" t="inlineStr">
        <is>
          <t>Inhalt unverändert; Fundstelle der Durchsicht übernommen. Hinweis „Ergänzen: chromatarmer Zement.“ berücksichtigt.</t>
        </is>
      </c>
    </row>
    <row r="51" ht="53.7" customHeight="1" s="17">
      <c r="A51" s="26" t="inlineStr">
        <is>
          <t>B-050</t>
        </is>
      </c>
      <c r="B51" s="26" t="inlineStr">
        <is>
          <t>Handwerk / Bau (inkl. Holz / Tischlerei)</t>
        </is>
      </c>
      <c r="C51" s="26" t="inlineStr">
        <is>
          <t>Gefährdungsbeurteilung</t>
        </is>
      </c>
      <c r="D51" s="26" t="inlineStr">
        <is>
          <t>Gefährdungen</t>
        </is>
      </c>
      <c r="E51" s="26" t="inlineStr">
        <is>
          <t>UV-Strahlung bei Arbeiten im Freien.</t>
        </is>
      </c>
      <c r="F51" s="26" t="inlineStr">
        <is>
          <t>Faktor: Physikalische, chemische und biologische Einwirkungen Maßnahmen: Beschattung des Arbeitsplatzes. Arbeiten in der Mittagszeit vermeiden. Körperbedeckende Kleidung, Kopfschutz, Sonnenschutzbrille; Sonnenschutzmittel mindestens LSF 30, alle 2 Stunden erneuern.</t>
        </is>
      </c>
      <c r="G51" s="26" t="inlineStr">
        <is>
          <t>2 Stunden</t>
        </is>
      </c>
      <c r="H51" s="26" t="inlineStr">
        <is>
          <t>BG BAU</t>
        </is>
      </c>
      <c r="I51" s="26" t="inlineStr">
        <is>
          <t>Quelle genannt</t>
        </is>
      </c>
      <c r="J51" s="26" t="inlineStr">
        <is>
          <t>ändern</t>
        </is>
      </c>
      <c r="K51" s="26" t="inlineStr">
        <is>
          <t>Ergänzen: „Angebotsvorsorge bei Tätigkeiten im Freien mit intensiver UV-Belastung von regelmäßig 1 Std. oder mehr je Tag (ArbMedVV Anhang Teil 3).“</t>
        </is>
      </c>
      <c r="L51" s="26" t="inlineStr">
        <is>
          <t>ArbMedVV Anhang Teil 3 Abs. 2; AMR 13.3</t>
        </is>
      </c>
      <c r="M51" s="26" t="inlineStr">
        <is>
          <t>Vorsorgeanlass fehlt.</t>
        </is>
      </c>
      <c r="N51" s="26" t="inlineStr">
        <is>
          <t>plausibel</t>
        </is>
      </c>
      <c r="O51" s="27" t="inlineStr">
        <is>
          <t>umgesetzt</t>
        </is>
      </c>
      <c r="P51" s="27" t="inlineStr">
        <is>
          <t>Korrektur übernommen, Fundstelle ersetzt.</t>
        </is>
      </c>
    </row>
    <row r="52" ht="74.59999999999999" customHeight="1" s="17">
      <c r="A52" s="26" t="inlineStr">
        <is>
          <t>B-051</t>
        </is>
      </c>
      <c r="B52" s="26" t="inlineStr">
        <is>
          <t>Handwerk / Bau (inkl. Holz / Tischlerei)</t>
        </is>
      </c>
      <c r="C52" s="26" t="inlineStr">
        <is>
          <t>Gefährdungsbeurteilung</t>
        </is>
      </c>
      <c r="D52" s="26" t="inlineStr">
        <is>
          <t>Gefährdungen</t>
        </is>
      </c>
      <c r="E52" s="26" t="inlineStr">
        <is>
          <t>Stromschlag durch beschädigte Leitungen und elektrische Betriebsmittel.</t>
        </is>
      </c>
      <c r="F52" s="26" t="inlineStr">
        <is>
          <t>Faktor: Gestaltung, Auswahl und Einsatz von Arbeitsmitteln (Arbeitsstoffe, Maschinen, Geräte, Anlagen) und der Umgang damit Maßnahmen: Auf Baustellen Steckdosen bis 32 A über Fehlerstrom-Schutzeinrichtung (RCD) mit höchstens 30 mA absichern. Nur regelmäßig geprüfte Betriebsmittel einsetzen; RCD-Funktion arbeitstäglich kontrollieren. Arbeiten an elektrischen Anlagen nur durch Elektrofachkräfte.</t>
        </is>
      </c>
      <c r="G52" s="26" t="inlineStr">
        <is>
          <t>höchstens 30 mA</t>
        </is>
      </c>
      <c r="H52" s="26" t="inlineStr">
        <is>
          <t>BG BAU Bausteine B 171, B 172; A 002</t>
        </is>
      </c>
      <c r="I52" s="26" t="inlineStr">
        <is>
          <t>Quelle genannt</t>
        </is>
      </c>
      <c r="J52" s="26" t="inlineStr">
        <is>
          <t>frei</t>
        </is>
      </c>
      <c r="K52" s="26" t="n"/>
      <c r="L52" s="26" t="inlineStr">
        <is>
          <t>DGUV Information 203-006; DGUV V3 DA Tab. 1A</t>
        </is>
      </c>
      <c r="M52" s="26" t="n"/>
      <c r="N52" s="26" t="inlineStr">
        <is>
          <t>plausibel</t>
        </is>
      </c>
      <c r="O52" s="27" t="inlineStr">
        <is>
          <t>umgesetzt</t>
        </is>
      </c>
      <c r="P52" s="27" t="inlineStr">
        <is>
          <t>Inhalt unverändert; Fundstelle der Durchsicht übernommen.</t>
        </is>
      </c>
    </row>
    <row r="53" ht="64.15000000000001" customHeight="1" s="17">
      <c r="A53" s="26" t="inlineStr">
        <is>
          <t>B-052</t>
        </is>
      </c>
      <c r="B53" s="26" t="inlineStr">
        <is>
          <t>Handwerk / Bau (inkl. Holz / Tischlerei)</t>
        </is>
      </c>
      <c r="C53" s="26" t="inlineStr">
        <is>
          <t>Gefährdungsbeurteilung</t>
        </is>
      </c>
      <c r="D53" s="26" t="inlineStr">
        <is>
          <t>Gefährdungen</t>
        </is>
      </c>
      <c r="E53" s="26" t="inlineStr">
        <is>
          <t>Unfälle mit Kraftfahrzeugen durch technische Mängel oder ungesicherte Ladung.</t>
        </is>
      </c>
      <c r="F53" s="26" t="inlineStr">
        <is>
          <t>Faktor: Gestaltung, Auswahl und Einsatz von Arbeitsmitteln (Arbeitsstoffe, Maschinen, Geräte, Anlagen) und der Umgang damit Maßnahmen: Feste Trennwände, Einbauten und Zurrösen; Ladungssicherung mit Netzen oder Spanngurten. Regelmäßige Prüfung durch Fachbetrieb; Fahrerlaubnisse regelmäßig kontrollieren.</t>
        </is>
      </c>
      <c r="G53" s="26" t="n"/>
      <c r="H53" s="26" t="inlineStr">
        <is>
          <t>BG ETEM</t>
        </is>
      </c>
      <c r="I53" s="26" t="inlineStr">
        <is>
          <t>Quelle genannt</t>
        </is>
      </c>
      <c r="J53" s="26" t="inlineStr">
        <is>
          <t>ändern</t>
        </is>
      </c>
      <c r="K53" s="26" t="inlineStr">
        <is>
          <t>„Regelmäßige Prüfung durch Fachbetrieb“ → „mindestens jährlich durch Sachkundigen (§ 57 DGUV V70)“.</t>
        </is>
      </c>
      <c r="L53" s="26" t="inlineStr">
        <is>
          <t>§ 57 DGUV Vorschrift 70</t>
        </is>
      </c>
      <c r="M53" s="26" t="n"/>
      <c r="N53" s="26" t="inlineStr">
        <is>
          <t>plausibel</t>
        </is>
      </c>
      <c r="O53" s="27" t="inlineStr">
        <is>
          <t>umgesetzt</t>
        </is>
      </c>
      <c r="P53" s="27" t="inlineStr">
        <is>
          <t>Korrektur übernommen, Fundstelle ersetzt.</t>
        </is>
      </c>
    </row>
    <row r="54" ht="85.05" customHeight="1" s="17">
      <c r="A54" s="26" t="inlineStr">
        <is>
          <t>B-053</t>
        </is>
      </c>
      <c r="B54" s="26" t="inlineStr">
        <is>
          <t>Handwerk / Bau (inkl. Holz / Tischlerei)</t>
        </is>
      </c>
      <c r="C54" s="26" t="inlineStr">
        <is>
          <t>Gefährdungsbeurteilung</t>
        </is>
      </c>
      <c r="D54" s="26" t="inlineStr">
        <is>
          <t>Gefährdungen</t>
        </is>
      </c>
      <c r="E54" s="26" t="inlineStr">
        <is>
          <t>Schwere körperliche Belastung durch Heben, Tragen, Zwangshaltungen und Knien.</t>
        </is>
      </c>
      <c r="F54" s="26" t="inlineStr">
        <is>
          <t>Faktor: Gestaltung von Arbeits- und Fertigungsverfahren, Arbeitsabläufen und Arbeitszeit und deren Zusammenwirken Maßnahmen: Technische Hilfsmittel für den Materialtransport einsetzen (z. B. Schubkarre, Transportzange, Saugheber); höhenverstellbare Geräte nutzen. Lastgewichte und Gebindegrößen reduzieren; Transportwege kurz halten; Haltungswechsel und Kurzpausen einplanen. In rückengerechter Hebe- und Tragetechnik unterweisen; Knieschutz verwenden.</t>
        </is>
      </c>
      <c r="G54" s="26" t="n"/>
      <c r="H54" s="26" t="inlineStr">
        <is>
          <t>BG BAU Baustein D 506, Stand 07/2021</t>
        </is>
      </c>
      <c r="I54" s="26" t="inlineStr">
        <is>
          <t>Quelle genannt</t>
        </is>
      </c>
      <c r="J54" s="26" t="inlineStr">
        <is>
          <t>frei</t>
        </is>
      </c>
      <c r="K54" s="26" t="n"/>
      <c r="L54" s="26" t="inlineStr">
        <is>
          <t>BG BAU D 506; LasthandhabV</t>
        </is>
      </c>
      <c r="M54" s="26" t="n"/>
      <c r="N54" s="26" t="inlineStr">
        <is>
          <t>plausibel</t>
        </is>
      </c>
      <c r="O54" s="27" t="inlineStr">
        <is>
          <t>umgesetzt</t>
        </is>
      </c>
      <c r="P54" s="27" t="inlineStr">
        <is>
          <t>Inhalt unverändert; Fundstelle der Durchsicht übernommen.</t>
        </is>
      </c>
    </row>
    <row r="55" ht="53.7" customHeight="1" s="17">
      <c r="A55" s="26" t="inlineStr">
        <is>
          <t>B-054</t>
        </is>
      </c>
      <c r="B55" s="26" t="inlineStr">
        <is>
          <t>Handwerk / Bau (inkl. Holz / Tischlerei)</t>
        </is>
      </c>
      <c r="C55" s="26" t="inlineStr">
        <is>
          <t>Gefährdungsbeurteilung</t>
        </is>
      </c>
      <c r="D55" s="26" t="inlineStr">
        <is>
          <t>Gefährdungen</t>
        </is>
      </c>
      <c r="E55" s="26" t="inlineStr">
        <is>
          <t>Brand- und Explosionsgefahr durch Druckgasflaschen (z. B. Flüssiggas).</t>
        </is>
      </c>
      <c r="F55" s="26" t="inlineStr">
        <is>
          <t>Faktor: Sonstige Gefährdungen Maßnahmen: Flaschen gegen Umfallen sichern, Ventile schützen; Lagerung in Kellern, Fluren und Treppenräumen unzulässig. Nur mit geschlossenen Ventilen und Schutzkappen transportieren, auf Fahrzeugen verzurren; Feuerlöscher mitführen.</t>
        </is>
      </c>
      <c r="G55" s="26" t="n"/>
      <c r="H55" s="26" t="inlineStr">
        <is>
          <t>BG BAU Bausteine A 063, A 064, A 065</t>
        </is>
      </c>
      <c r="I55" s="26" t="inlineStr">
        <is>
          <t>Quelle genannt</t>
        </is>
      </c>
      <c r="J55" s="26" t="inlineStr">
        <is>
          <t>frei</t>
        </is>
      </c>
      <c r="K55" s="26" t="n"/>
      <c r="L55" s="26" t="inlineStr">
        <is>
          <t>TRGS 510; DGUV Vorschrift 79</t>
        </is>
      </c>
      <c r="M55" s="26" t="n"/>
      <c r="N55" s="26" t="inlineStr">
        <is>
          <t>plausibel</t>
        </is>
      </c>
      <c r="O55" s="27" t="inlineStr">
        <is>
          <t>umgesetzt</t>
        </is>
      </c>
      <c r="P55" s="27" t="inlineStr">
        <is>
          <t>Inhalt unverändert; Fundstelle der Durchsicht übernommen.</t>
        </is>
      </c>
    </row>
    <row r="56" ht="43.25" customHeight="1" s="17">
      <c r="A56" s="26" t="inlineStr">
        <is>
          <t>B-055</t>
        </is>
      </c>
      <c r="B56" s="26" t="inlineStr">
        <is>
          <t>Handwerk / Bau (inkl. Holz / Tischlerei)</t>
        </is>
      </c>
      <c r="C56" s="26" t="inlineStr">
        <is>
          <t>Gefährdungsbeurteilung</t>
        </is>
      </c>
      <c r="D56" s="26" t="inlineStr">
        <is>
          <t>Gefährdungen</t>
        </is>
      </c>
      <c r="E56" s="26" t="inlineStr">
        <is>
          <t>Fehlende oder defekte persönliche Schutzausrüstung bzw. fehlende Kenntnis über deren Benutzung.</t>
        </is>
      </c>
      <c r="F56" s="26" t="inlineStr">
        <is>
          <t>Faktor: Unzureichende Qualifikation und Unterweisung der Beschäftigten Maßnahmen: Bedarfsgerechte PSA bereitstellen (z. B. Helm, Sicherheitsschuhe, Schutzbrille, Gehörschutz, Handschuhe). Beschäftigte im Umgang mit der PSA unterweisen.</t>
        </is>
      </c>
      <c r="G56" s="26" t="n"/>
      <c r="H56" s="26" t="inlineStr">
        <is>
          <t>BG ETEM</t>
        </is>
      </c>
      <c r="I56" s="26" t="inlineStr">
        <is>
          <t>Quelle genannt</t>
        </is>
      </c>
      <c r="J56" s="26" t="inlineStr">
        <is>
          <t>frei</t>
        </is>
      </c>
      <c r="K56" s="26" t="n"/>
      <c r="L56" s="26" t="inlineStr">
        <is>
          <t>PSA-BV</t>
        </is>
      </c>
      <c r="M56" s="26" t="n"/>
      <c r="N56" s="26" t="inlineStr">
        <is>
          <t>plausibel</t>
        </is>
      </c>
      <c r="O56" s="27" t="inlineStr">
        <is>
          <t>umgesetzt</t>
        </is>
      </c>
      <c r="P56" s="27" t="inlineStr">
        <is>
          <t>Inhalt unverändert; Fundstelle der Durchsicht übernommen.</t>
        </is>
      </c>
    </row>
    <row r="57" ht="32.8" customHeight="1" s="17">
      <c r="A57" s="26" t="inlineStr">
        <is>
          <t>B-056</t>
        </is>
      </c>
      <c r="B57" s="26" t="inlineStr">
        <is>
          <t>Handwerk / Bau (inkl. Holz / Tischlerei)</t>
        </is>
      </c>
      <c r="C57" s="26" t="inlineStr">
        <is>
          <t>Gefährdungsbeurteilung</t>
        </is>
      </c>
      <c r="D57" s="26" t="inlineStr">
        <is>
          <t>Gefährdungen</t>
        </is>
      </c>
      <c r="E57" s="26" t="inlineStr">
        <is>
          <t>Arbeitsbedingte psychische Belastungen (z. B. Über-/Unterforderung, Stress, soziale Konflikte).</t>
        </is>
      </c>
      <c r="F57" s="26" t="inlineStr">
        <is>
          <t>Faktor: Psychische Belastungen bei der Arbeit Maßnahmen: Problembereiche unter Einbindung der Beschäftigten ermitteln (z. B. Befragung). Lösungen erarbeiten und umsetzen.</t>
        </is>
      </c>
      <c r="G57" s="26" t="n"/>
      <c r="H57" s="26" t="inlineStr">
        <is>
          <t>BG ETEM</t>
        </is>
      </c>
      <c r="I57" s="26" t="inlineStr">
        <is>
          <t>Quelle genannt</t>
        </is>
      </c>
      <c r="J57" s="26" t="inlineStr">
        <is>
          <t>frei</t>
        </is>
      </c>
      <c r="K57" s="26" t="n"/>
      <c r="L57" s="26" t="inlineStr">
        <is>
          <t>§ 5 Abs. 3 Nr. 6 ArbSchG; GDA</t>
        </is>
      </c>
      <c r="M57" s="26" t="n"/>
      <c r="N57" s="26" t="inlineStr">
        <is>
          <t>plausibel</t>
        </is>
      </c>
      <c r="O57" s="27" t="inlineStr">
        <is>
          <t>umgesetzt</t>
        </is>
      </c>
      <c r="P57" s="27" t="inlineStr">
        <is>
          <t>Inhalt unverändert; Fundstelle der Durchsicht übernommen.</t>
        </is>
      </c>
    </row>
    <row r="58" ht="64.15000000000001" customHeight="1" s="17">
      <c r="A58" s="26" t="inlineStr">
        <is>
          <t>B-057</t>
        </is>
      </c>
      <c r="B58" s="26" t="inlineStr">
        <is>
          <t>Büro / Laden</t>
        </is>
      </c>
      <c r="C58" s="26" t="inlineStr">
        <is>
          <t>Gefährdungsbeurteilung</t>
        </is>
      </c>
      <c r="D58" s="26" t="inlineStr">
        <is>
          <t>Gefährdungen</t>
        </is>
      </c>
      <c r="E58" s="26" t="inlineStr">
        <is>
          <t>Stolpern, Ausrutschen und Stürzen auf Böden und Verkehrswegen.</t>
        </is>
      </c>
      <c r="F58" s="26" t="inlineStr">
        <is>
          <t>Faktor: Gestaltung und Einrichtung der Arbeitsstätte und des Arbeitsplatzes Maßnahmen: Ebene, trittsichere Böden; Stolperstellen und Schwellen beseitigen; Sauberlaufzonen. Wege frei und sauber halten; rutschhemmende Reinigungsmittel; Schnee und Eis im Außenbereich entfernen. Geeignetes Schuhwerk tragen.</t>
        </is>
      </c>
      <c r="G58" s="26" t="n"/>
      <c r="H58" s="26" t="inlineStr">
        <is>
          <t>BGHW</t>
        </is>
      </c>
      <c r="I58" s="26" t="inlineStr">
        <is>
          <t>Quelle genannt</t>
        </is>
      </c>
      <c r="J58" s="26" t="inlineStr">
        <is>
          <t>frei</t>
        </is>
      </c>
      <c r="K58" s="26" t="n"/>
      <c r="L58" s="26" t="inlineStr">
        <is>
          <t>ASR A1.5; BGHW</t>
        </is>
      </c>
      <c r="M58" s="26" t="n"/>
      <c r="N58" s="26" t="inlineStr">
        <is>
          <t>plausibel</t>
        </is>
      </c>
      <c r="O58" s="27" t="inlineStr">
        <is>
          <t>umgesetzt</t>
        </is>
      </c>
      <c r="P58" s="27" t="inlineStr">
        <is>
          <t>Inhalt unverändert; Fundstelle der Durchsicht übernommen.</t>
        </is>
      </c>
    </row>
    <row r="59" ht="43.25" customHeight="1" s="17">
      <c r="A59" s="26" t="inlineStr">
        <is>
          <t>B-058</t>
        </is>
      </c>
      <c r="B59" s="26" t="inlineStr">
        <is>
          <t>Büro / Laden</t>
        </is>
      </c>
      <c r="C59" s="26" t="inlineStr">
        <is>
          <t>Gefährdungsbeurteilung</t>
        </is>
      </c>
      <c r="D59" s="26" t="inlineStr">
        <is>
          <t>Gefährdungen</t>
        </is>
      </c>
      <c r="E59" s="26" t="inlineStr">
        <is>
          <t>Ungünstiges Raumklima (Kälte, Zugluft, Hitze).</t>
        </is>
      </c>
      <c r="F59" s="26" t="inlineStr">
        <is>
          <t>Faktor: Gestaltung und Einrichtung der Arbeitsstätte und des Arbeitsplatzes Maßnahmen: Zugluft vermeiden (Türschleier, Windfang); Sonnenschutz außen. Büro: Mindesttemperatur 20 °C; bei mehr als 26 °C Getränke und Trinkpausen anbieten.</t>
        </is>
      </c>
      <c r="G59" s="26" t="inlineStr">
        <is>
          <t>20 °C; 26 °C</t>
        </is>
      </c>
      <c r="H59" s="26" t="inlineStr">
        <is>
          <t>BGHW</t>
        </is>
      </c>
      <c r="I59" s="26" t="inlineStr">
        <is>
          <t>Quelle genannt</t>
        </is>
      </c>
      <c r="J59" s="26" t="inlineStr">
        <is>
          <t>ändern</t>
        </is>
      </c>
      <c r="K59" s="26" t="inlineStr">
        <is>
          <t>„Bei leichter, sitzender Tätigkeit mind. 20 °C; ab 26 °C sollen, ab 30 °C müssen Maßnahmen nach ASR A3.5 Tab. 4 ergriffen werden (z. B. Getränke, Lockerung Kleiderordnung); über 35 °C ohne Maßnahmen kein Arbeitsraum.“</t>
        </is>
      </c>
      <c r="L59" s="26" t="inlineStr">
        <is>
          <t>ASR A3.5 Nr. 4.2 Tab. 1, Nr. 4.4</t>
        </is>
      </c>
      <c r="M59" s="26" t="inlineStr">
        <is>
          <t>Stufen 26/30/35 °C fehlen.</t>
        </is>
      </c>
      <c r="N59" s="26" t="inlineStr">
        <is>
          <t>plausibel</t>
        </is>
      </c>
      <c r="O59" s="27" t="inlineStr">
        <is>
          <t>umgesetzt</t>
        </is>
      </c>
      <c r="P59" s="27" t="inlineStr">
        <is>
          <t>Korrektur übernommen, Fundstelle ersetzt.</t>
        </is>
      </c>
    </row>
    <row r="60" ht="53.7" customHeight="1" s="17">
      <c r="A60" s="26" t="inlineStr">
        <is>
          <t>B-059</t>
        </is>
      </c>
      <c r="B60" s="26" t="inlineStr">
        <is>
          <t>Büro / Laden</t>
        </is>
      </c>
      <c r="C60" s="26" t="inlineStr">
        <is>
          <t>Gefährdungsbeurteilung</t>
        </is>
      </c>
      <c r="D60" s="26" t="inlineStr">
        <is>
          <t>Gefährdungen</t>
        </is>
      </c>
      <c r="E60" s="26" t="inlineStr">
        <is>
          <t>Unzureichende oder blendende Beleuchtung.</t>
        </is>
      </c>
      <c r="F60" s="26" t="inlineStr">
        <is>
          <t>Faktor: Gestaltung und Einrichtung der Arbeitsstätte und des Arbeitsplatzes Maßnahmen: Nennbeleuchtungsstärken einhalten (z. B. Verkaufsraum 300 Lux, Büro 500 Lux); flimmerfreie Leuchten. Blendung durch Sonne mit Jalousien oder Rollos vermeiden; Leuchtenabdeckungen reinigen.</t>
        </is>
      </c>
      <c r="G60" s="26" t="inlineStr">
        <is>
          <t>300 Lux; 500 Lux</t>
        </is>
      </c>
      <c r="H60" s="26" t="inlineStr">
        <is>
          <t>BGHW</t>
        </is>
      </c>
      <c r="I60" s="26" t="inlineStr">
        <is>
          <t>Quelle genannt</t>
        </is>
      </c>
      <c r="J60" s="26" t="inlineStr">
        <is>
          <t>frei</t>
        </is>
      </c>
      <c r="K60" s="26" t="inlineStr">
        <is>
          <t>Quelle präzisieren.</t>
        </is>
      </c>
      <c r="L60" s="26" t="inlineStr">
        <is>
          <t>ASR A3.4 Anhang 3 Nr. 24.1 (Verkauf 300 lx), Nr. 4.2 (Büro 500 lx), Nr. 24.2 (Kasse 500 lx)</t>
        </is>
      </c>
      <c r="M60" s="26" t="inlineStr">
        <is>
          <t>Werte nachgelesen.</t>
        </is>
      </c>
      <c r="N60" s="26" t="inlineStr">
        <is>
          <t>bestätigt</t>
        </is>
      </c>
      <c r="O60" s="27" t="inlineStr">
        <is>
          <t>umgesetzt</t>
        </is>
      </c>
      <c r="P60" s="27" t="inlineStr">
        <is>
          <t>Inhalt unverändert; Fundstelle der Durchsicht übernommen. Hinweis „Quelle präzisieren.“ berücksichtigt.</t>
        </is>
      </c>
    </row>
    <row r="61" ht="53.7" customHeight="1" s="17">
      <c r="A61" s="26" t="inlineStr">
        <is>
          <t>B-060</t>
        </is>
      </c>
      <c r="B61" s="26" t="inlineStr">
        <is>
          <t>Büro / Laden</t>
        </is>
      </c>
      <c r="C61" s="26" t="inlineStr">
        <is>
          <t>Gefährdungsbeurteilung</t>
        </is>
      </c>
      <c r="D61" s="26" t="inlineStr">
        <is>
          <t>Gefährdungen</t>
        </is>
      </c>
      <c r="E61" s="26" t="inlineStr">
        <is>
          <t>Einseitige Körperhaltung bei Bildschirmarbeit.</t>
        </is>
      </c>
      <c r="F61" s="26" t="inlineStr">
        <is>
          <t>Faktor: Gestaltung von Arbeits- und Fertigungsverfahren, Arbeitsabläufen und Arbeitszeit und deren Zusammenwirken Maßnahmen: Höhenverstellbarer Schreibtisch (mind. 80 × 160 cm) mit ausreichender Beinfreiheit und ergonomischer Stuhl. Regelmäßige Unterbrechung des Sitzens ermöglichen.</t>
        </is>
      </c>
      <c r="G61" s="26" t="inlineStr">
        <is>
          <t>160 cm</t>
        </is>
      </c>
      <c r="H61" s="26" t="inlineStr">
        <is>
          <t>BG ETEM</t>
        </is>
      </c>
      <c r="I61" s="26" t="inlineStr">
        <is>
          <t>Quelle genannt</t>
        </is>
      </c>
      <c r="J61" s="26" t="inlineStr">
        <is>
          <t>ändern</t>
        </is>
      </c>
      <c r="K61" s="26" t="inlineStr">
        <is>
          <t>„Arbeitsfläche mind. 160 × 80 cm (bei einem Bildschirm und wenig Papier 120 × 80 cm); Höhenverstellbarkeit empfohlen.“</t>
        </is>
      </c>
      <c r="L61" s="26" t="inlineStr">
        <is>
          <t>ASR A6 Nr. 6.3.10; DGUV Information 215-410</t>
        </is>
      </c>
      <c r="M61" s="26" t="inlineStr">
        <is>
          <t>Höhenverstellbarkeit ist keine Pflicht; Primärquelle ASR A6.</t>
        </is>
      </c>
      <c r="N61" s="26" t="inlineStr">
        <is>
          <t>bestätigt</t>
        </is>
      </c>
      <c r="O61" s="27" t="inlineStr">
        <is>
          <t>umgesetzt</t>
        </is>
      </c>
      <c r="P61" s="27" t="inlineStr">
        <is>
          <t>Korrektur übernommen, Fundstelle ersetzt.</t>
        </is>
      </c>
    </row>
    <row r="62" ht="53.7" customHeight="1" s="17">
      <c r="A62" s="26" t="inlineStr">
        <is>
          <t>B-061</t>
        </is>
      </c>
      <c r="B62" s="26" t="inlineStr">
        <is>
          <t>Büro / Laden</t>
        </is>
      </c>
      <c r="C62" s="26" t="inlineStr">
        <is>
          <t>Gefährdungsbeurteilung</t>
        </is>
      </c>
      <c r="D62" s="26" t="inlineStr">
        <is>
          <t>Gefährdungen</t>
        </is>
      </c>
      <c r="E62" s="26" t="inlineStr">
        <is>
          <t>Visuelle Belastung bei Bildschirmarbeit.</t>
        </is>
      </c>
      <c r="F62" s="26" t="inlineStr">
        <is>
          <t>Faktor: Gestaltung, Auswahl und Einsatz von Arbeitsmitteln (Arbeitsstoffe, Maschinen, Geräte, Anlagen) und der Umgang damit Maßnahmen: Ausreichend großer, einstellbarer, reflexionsfreier Bildschirm; Aufstellung 90° zum Lichteinfall. Arbeitsmedizinische Vorsorge (Augen/Sehvermögen) anbieten.</t>
        </is>
      </c>
      <c r="G62" s="26" t="n"/>
      <c r="H62" s="26" t="inlineStr">
        <is>
          <t>BG ETEM</t>
        </is>
      </c>
      <c r="I62" s="26" t="inlineStr">
        <is>
          <t>Quelle genannt</t>
        </is>
      </c>
      <c r="J62" s="26" t="inlineStr">
        <is>
          <t>frei</t>
        </is>
      </c>
      <c r="K62" s="26" t="n"/>
      <c r="L62" s="26" t="inlineStr">
        <is>
          <t>ASR A6; ArbMedVV Anhang Teil 4 Abs. 2 Nr. 1</t>
        </is>
      </c>
      <c r="M62" s="26" t="n"/>
      <c r="N62" s="26" t="inlineStr">
        <is>
          <t>bestätigt</t>
        </is>
      </c>
      <c r="O62" s="27" t="inlineStr">
        <is>
          <t>umgesetzt</t>
        </is>
      </c>
      <c r="P62" s="27" t="inlineStr">
        <is>
          <t>Inhalt unverändert; Fundstelle der Durchsicht übernommen.</t>
        </is>
      </c>
    </row>
    <row r="63" ht="64.15000000000001" customHeight="1" s="17">
      <c r="A63" s="26" t="inlineStr">
        <is>
          <t>B-062</t>
        </is>
      </c>
      <c r="B63" s="26" t="inlineStr">
        <is>
          <t>Büro / Laden</t>
        </is>
      </c>
      <c r="C63" s="26" t="inlineStr">
        <is>
          <t>Gefährdungsbeurteilung</t>
        </is>
      </c>
      <c r="D63" s="26" t="inlineStr">
        <is>
          <t>Gefährdungen</t>
        </is>
      </c>
      <c r="E63" s="26" t="inlineStr">
        <is>
          <t>Absturz von Leitern und Tritten.</t>
        </is>
      </c>
      <c r="F63" s="26" t="inlineStr">
        <is>
          <t>Faktor: Gestaltung, Auswahl und Einsatz von Arbeitsmitteln (Arbeitsstoffe, Maschinen, Geräte, Anlagen) und der Umgang damit Maßnahmen: Ausreichend geeignete Leitern und Tritte bereitstellen; keine Kisten oder Stühle als Ersatz. Standsicher aufstellen, nicht übersteigen oder seitlich hinauslehnen; vor Gebrauch auf Mängel prüfen.</t>
        </is>
      </c>
      <c r="G63" s="26" t="n"/>
      <c r="H63" s="26" t="inlineStr">
        <is>
          <t>BGHW</t>
        </is>
      </c>
      <c r="I63" s="26" t="inlineStr">
        <is>
          <t>Quelle genannt</t>
        </is>
      </c>
      <c r="J63" s="26" t="inlineStr">
        <is>
          <t>frei</t>
        </is>
      </c>
      <c r="K63" s="26" t="n"/>
      <c r="L63" s="26" t="inlineStr">
        <is>
          <t>DGUV Information 208-016</t>
        </is>
      </c>
      <c r="M63" s="26" t="n"/>
      <c r="N63" s="26" t="inlineStr">
        <is>
          <t>plausibel</t>
        </is>
      </c>
      <c r="O63" s="27" t="inlineStr">
        <is>
          <t>umgesetzt</t>
        </is>
      </c>
      <c r="P63" s="27" t="inlineStr">
        <is>
          <t>Inhalt unverändert; Fundstelle der Durchsicht übernommen.</t>
        </is>
      </c>
    </row>
    <row r="64" ht="53.7" customHeight="1" s="17">
      <c r="A64" s="26" t="inlineStr">
        <is>
          <t>B-063</t>
        </is>
      </c>
      <c r="B64" s="26" t="inlineStr">
        <is>
          <t>Büro / Laden</t>
        </is>
      </c>
      <c r="C64" s="26" t="inlineStr">
        <is>
          <t>Gefährdungsbeurteilung</t>
        </is>
      </c>
      <c r="D64" s="26" t="inlineStr">
        <is>
          <t>Gefährdungen</t>
        </is>
      </c>
      <c r="E64" s="26" t="inlineStr">
        <is>
          <t>Schnittverletzungen beim Öffnen von Verpackungen mit Messern und Cuttern.</t>
        </is>
      </c>
      <c r="F64" s="26" t="inlineStr">
        <is>
          <t>Faktor: Gestaltung, Auswahl und Einsatz von Arbeitsmitteln (Arbeitsstoffe, Maschinen, Geräte, Anlagen) und der Umgang damit Maßnahmen: Sicherheitsmesser mit verdeckter oder selbsttätig zurückgezogener Klinge verwenden. Stumpfe Klingen wechseln, schadhafte Messer aussondern.</t>
        </is>
      </c>
      <c r="G64" s="26" t="n"/>
      <c r="H64" s="26" t="inlineStr">
        <is>
          <t>BGHW</t>
        </is>
      </c>
      <c r="I64" s="26" t="inlineStr">
        <is>
          <t>Quelle genannt</t>
        </is>
      </c>
      <c r="J64" s="26" t="inlineStr">
        <is>
          <t>frei</t>
        </is>
      </c>
      <c r="K64" s="26" t="n"/>
      <c r="L64" s="26" t="inlineStr">
        <is>
          <t>BGHW</t>
        </is>
      </c>
      <c r="M64" s="26" t="n"/>
      <c r="N64" s="26" t="inlineStr">
        <is>
          <t>plausibel</t>
        </is>
      </c>
      <c r="O64" s="27" t="inlineStr">
        <is>
          <t>umgesetzt</t>
        </is>
      </c>
      <c r="P64" s="27" t="inlineStr">
        <is>
          <t>Inhalt unverändert; Fundstelle der Durchsicht übernommen.</t>
        </is>
      </c>
    </row>
    <row r="65" ht="85.05" customHeight="1" s="17">
      <c r="A65" s="26" t="inlineStr">
        <is>
          <t>B-064</t>
        </is>
      </c>
      <c r="B65" s="26" t="inlineStr">
        <is>
          <t>Büro / Laden</t>
        </is>
      </c>
      <c r="C65" s="26" t="inlineStr">
        <is>
          <t>Gefährdungsbeurteilung</t>
        </is>
      </c>
      <c r="D65" s="26" t="inlineStr">
        <is>
          <t>Gefährdungen</t>
        </is>
      </c>
      <c r="E65" s="26" t="inlineStr">
        <is>
          <t>Elektrische Gefährdung durch beschädigte Geräte und Leitungen.</t>
        </is>
      </c>
      <c r="F65" s="26" t="inlineStr">
        <is>
          <t>Faktor: Gestaltung, Auswahl und Einsatz von Arbeitsmitteln (Arbeitsstoffe, Maschinen, Geräte, Anlagen) und der Umgang damit Maßnahmen: Leitungen nicht durch Tür- oder Fensteröffnungen führen; keine hintereinander gesteckten Mehrfachsteckdosen. Geräte und Leitungen vor Gebrauch auf Schäden prüfen; schadhafte Geräte sofort aus dem Verkehr ziehen, Reparatur nur durch Elektrofachkraft. Elektrische Geräte regelmäßig prüfen lassen.</t>
        </is>
      </c>
      <c r="G65" s="26" t="n"/>
      <c r="H65" s="26" t="inlineStr">
        <is>
          <t>BGHW</t>
        </is>
      </c>
      <c r="I65" s="26" t="inlineStr">
        <is>
          <t>Quelle genannt</t>
        </is>
      </c>
      <c r="J65" s="26" t="inlineStr">
        <is>
          <t>frei</t>
        </is>
      </c>
      <c r="K65" s="26" t="n"/>
      <c r="L65" s="26" t="inlineStr">
        <is>
          <t>DGUV V3; BGHW</t>
        </is>
      </c>
      <c r="M65" s="26" t="n"/>
      <c r="N65" s="26" t="inlineStr">
        <is>
          <t>plausibel</t>
        </is>
      </c>
      <c r="O65" s="27" t="inlineStr">
        <is>
          <t>umgesetzt</t>
        </is>
      </c>
      <c r="P65" s="27" t="inlineStr">
        <is>
          <t>Inhalt unverändert; Fundstelle der Durchsicht übernommen.</t>
        </is>
      </c>
    </row>
    <row r="66" ht="53.7" customHeight="1" s="17">
      <c r="A66" s="26" t="inlineStr">
        <is>
          <t>B-065</t>
        </is>
      </c>
      <c r="B66" s="26" t="inlineStr">
        <is>
          <t>Büro / Laden</t>
        </is>
      </c>
      <c r="C66" s="26" t="inlineStr">
        <is>
          <t>Gefährdungsbeurteilung</t>
        </is>
      </c>
      <c r="D66" s="26" t="inlineStr">
        <is>
          <t>Gefährdungen</t>
        </is>
      </c>
      <c r="E66" s="26" t="inlineStr">
        <is>
          <t>Umstürzende Regale und herabfallendes Lagergut.</t>
        </is>
      </c>
      <c r="F66" s="26" t="inlineStr">
        <is>
          <t>Faktor: Gestaltung, Auswahl und Einsatz von Arbeitsmitteln (Arbeitsstoffe, Maschinen, Geräte, Anlagen) und der Umgang damit Maßnahmen: Regale standsicher aufstellen; Anfahrschutz anbringen. Zulässige Fach- und Feldlasten einhalten; Regale regelmäßig prüfen, Mängel sofort melden.</t>
        </is>
      </c>
      <c r="G66" s="26" t="n"/>
      <c r="H66" s="26" t="inlineStr">
        <is>
          <t>BGHW</t>
        </is>
      </c>
      <c r="I66" s="26" t="inlineStr">
        <is>
          <t>Quelle genannt</t>
        </is>
      </c>
      <c r="J66" s="26" t="inlineStr">
        <is>
          <t>frei</t>
        </is>
      </c>
      <c r="K66" s="26" t="inlineStr">
        <is>
          <t>Ergänzen: jährliche Regalinspektion durch befähigte Person.</t>
        </is>
      </c>
      <c r="L66" s="26" t="inlineStr">
        <is>
          <t>DIN EN 15635; § 14 BetrSichV</t>
        </is>
      </c>
      <c r="M66" s="26" t="n"/>
      <c r="N66" s="26" t="inlineStr">
        <is>
          <t>plausibel</t>
        </is>
      </c>
      <c r="O66" s="27" t="inlineStr">
        <is>
          <t>umgesetzt</t>
        </is>
      </c>
      <c r="P66" s="27" t="inlineStr">
        <is>
          <t>Inhalt unverändert; Fundstelle der Durchsicht übernommen. Hinweis „Ergänzen: jährliche Regalinspektion durch befähigte Person.“ berücksichtigt.</t>
        </is>
      </c>
    </row>
    <row r="67" ht="53.7" customHeight="1" s="17">
      <c r="A67" s="26" t="inlineStr">
        <is>
          <t>B-066</t>
        </is>
      </c>
      <c r="B67" s="26" t="inlineStr">
        <is>
          <t>Büro / Laden</t>
        </is>
      </c>
      <c r="C67" s="26" t="inlineStr">
        <is>
          <t>Gefährdungsbeurteilung</t>
        </is>
      </c>
      <c r="D67" s="26" t="inlineStr">
        <is>
          <t>Gefährdungen</t>
        </is>
      </c>
      <c r="E67" s="26" t="inlineStr">
        <is>
          <t>Belastung durch Heben, Tragen, Ziehen und Schieben von Waren.</t>
        </is>
      </c>
      <c r="F67" s="26" t="inlineStr">
        <is>
          <t>Faktor: Gestaltung von Arbeits- und Fertigungsverfahren, Arbeitsabläufen und Arbeitszeit und deren Zusammenwirken Maßnahmen: Hebe- und Transporthilfen bereitstellen. Kleinere Gebinde bestellen; schwere Gebinde unten lagern; schwere Lasten zu zweit tragen oder aufteilen; Tätigkeiten wechseln.</t>
        </is>
      </c>
      <c r="G67" s="26" t="n"/>
      <c r="H67" s="26" t="inlineStr">
        <is>
          <t>BGHW</t>
        </is>
      </c>
      <c r="I67" s="26" t="inlineStr">
        <is>
          <t>Quelle genannt</t>
        </is>
      </c>
      <c r="J67" s="26" t="inlineStr">
        <is>
          <t>frei</t>
        </is>
      </c>
      <c r="K67" s="26" t="n"/>
      <c r="L67" s="26" t="inlineStr">
        <is>
          <t>LasthandhabV</t>
        </is>
      </c>
      <c r="M67" s="26" t="n"/>
      <c r="N67" s="26" t="inlineStr">
        <is>
          <t>plausibel</t>
        </is>
      </c>
      <c r="O67" s="27" t="inlineStr">
        <is>
          <t>umgesetzt</t>
        </is>
      </c>
      <c r="P67" s="27" t="inlineStr">
        <is>
          <t>Inhalt unverändert; Fundstelle der Durchsicht übernommen.</t>
        </is>
      </c>
    </row>
    <row r="68" ht="64.15000000000001" customHeight="1" s="17">
      <c r="A68" s="26" t="inlineStr">
        <is>
          <t>B-067</t>
        </is>
      </c>
      <c r="B68" s="26" t="inlineStr">
        <is>
          <t>Büro / Laden</t>
        </is>
      </c>
      <c r="C68" s="26" t="inlineStr">
        <is>
          <t>Gefährdungsbeurteilung</t>
        </is>
      </c>
      <c r="D68" s="26" t="inlineStr">
        <is>
          <t>Gefährdungen</t>
        </is>
      </c>
      <c r="E68" s="26" t="inlineStr">
        <is>
          <t>Fehlbelastung am Kassen- oder Steharbeitsplatz.</t>
        </is>
      </c>
      <c r="F68" s="26" t="inlineStr">
        <is>
          <t>Faktor: Gestaltung von Arbeits- und Fertigungsverfahren, Arbeitsabläufen und Arbeitszeit und deren Zusammenwirken Maßnahmen: Arbeitsfläche auf Ellbogenhöhe; Kasse ergonomisch gestalten; ausreichender Beinfreiraum; Stehhilfe an Steharbeitsplätzen. Stuhl und Fußstütze personenbezogen einstellen.</t>
        </is>
      </c>
      <c r="G68" s="26" t="n"/>
      <c r="H68" s="26" t="inlineStr">
        <is>
          <t>BGHW</t>
        </is>
      </c>
      <c r="I68" s="26" t="inlineStr">
        <is>
          <t>Quelle genannt</t>
        </is>
      </c>
      <c r="J68" s="26" t="inlineStr">
        <is>
          <t>frei</t>
        </is>
      </c>
      <c r="K68" s="26" t="n"/>
      <c r="L68" s="26" t="inlineStr">
        <is>
          <t>BGHW</t>
        </is>
      </c>
      <c r="M68" s="26" t="n"/>
      <c r="N68" s="26" t="inlineStr">
        <is>
          <t>plausibel</t>
        </is>
      </c>
      <c r="O68" s="27" t="inlineStr">
        <is>
          <t>umgesetzt</t>
        </is>
      </c>
      <c r="P68" s="27" t="inlineStr">
        <is>
          <t>Inhalt unverändert; Fundstelle der Durchsicht übernommen.</t>
        </is>
      </c>
    </row>
    <row r="69" ht="64.15000000000001" customHeight="1" s="17">
      <c r="A69" s="26" t="inlineStr">
        <is>
          <t>B-068</t>
        </is>
      </c>
      <c r="B69" s="26" t="inlineStr">
        <is>
          <t>Büro / Laden</t>
        </is>
      </c>
      <c r="C69" s="26" t="inlineStr">
        <is>
          <t>Gefährdungsbeurteilung</t>
        </is>
      </c>
      <c r="D69" s="26" t="inlineStr">
        <is>
          <t>Gefährdungen</t>
        </is>
      </c>
      <c r="E69" s="26" t="inlineStr">
        <is>
          <t>Überfallgefahr beim Umgang mit Bargeld.</t>
        </is>
      </c>
      <c r="F69" s="26" t="inlineStr">
        <is>
          <t>Faktor: Psychische Belastungen bei der Arbeit Maßnahmen: Tresor oder Zeitschloss; Alarmierungsmöglichkeit sicherstellen. Bargeld regelmäßig abschöpfen, Zählen nicht einsehbar; bargeldloses Bezahlen fördern; Geldtransport unauffällig und zu zweit. Notfallplan erstellen; Betriebsanweisung zum Verhalten bei Überfällen.</t>
        </is>
      </c>
      <c r="G69" s="26" t="n"/>
      <c r="H69" s="26" t="inlineStr">
        <is>
          <t>BGHW</t>
        </is>
      </c>
      <c r="I69" s="26" t="inlineStr">
        <is>
          <t>Quelle genannt</t>
        </is>
      </c>
      <c r="J69" s="26" t="inlineStr">
        <is>
          <t>frei</t>
        </is>
      </c>
      <c r="K69" s="26" t="n"/>
      <c r="L69" s="26" t="inlineStr">
        <is>
          <t>BGHW</t>
        </is>
      </c>
      <c r="M69" s="26" t="n"/>
      <c r="N69" s="26" t="inlineStr">
        <is>
          <t>plausibel</t>
        </is>
      </c>
      <c r="O69" s="27" t="inlineStr">
        <is>
          <t>umgesetzt</t>
        </is>
      </c>
      <c r="P69" s="27" t="inlineStr">
        <is>
          <t>Inhalt unverändert; Fundstelle der Durchsicht übernommen.</t>
        </is>
      </c>
    </row>
    <row r="70" ht="43.25" customHeight="1" s="17">
      <c r="A70" s="26" t="inlineStr">
        <is>
          <t>B-069</t>
        </is>
      </c>
      <c r="B70" s="26" t="inlineStr">
        <is>
          <t>Büro / Laden</t>
        </is>
      </c>
      <c r="C70" s="26" t="inlineStr">
        <is>
          <t>Gefährdungsbeurteilung</t>
        </is>
      </c>
      <c r="D70" s="26" t="inlineStr">
        <is>
          <t>Gefährdungen</t>
        </is>
      </c>
      <c r="E70" s="26" t="inlineStr">
        <is>
          <t>Psychische Belastungen durch Arbeitsinhalt, Arbeitsorganisation oder soziale Beziehungen.</t>
        </is>
      </c>
      <c r="F70" s="26" t="inlineStr">
        <is>
          <t>Faktor: Psychische Belastungen bei der Arbeit Maßnahmen: Belastungen mit anerkannten Verfahren erfassen (Beobachtung, Befragung, Workshop) und Beschäftigte einbinden. Maßnahmen ableiten, umsetzen und ihre Wirksamkeit dokumentieren.</t>
        </is>
      </c>
      <c r="G70" s="26" t="n"/>
      <c r="H70" s="26" t="inlineStr">
        <is>
          <t>BGHW</t>
        </is>
      </c>
      <c r="I70" s="26" t="inlineStr">
        <is>
          <t>Quelle genannt</t>
        </is>
      </c>
      <c r="J70" s="26" t="inlineStr">
        <is>
          <t>frei</t>
        </is>
      </c>
      <c r="K70" s="26" t="n"/>
      <c r="L70" s="26" t="inlineStr">
        <is>
          <t>GDA-Leitlinie; BGHW</t>
        </is>
      </c>
      <c r="M70" s="26" t="n"/>
      <c r="N70" s="26" t="inlineStr">
        <is>
          <t>plausibel</t>
        </is>
      </c>
      <c r="O70" s="27" t="inlineStr">
        <is>
          <t>umgesetzt</t>
        </is>
      </c>
      <c r="P70" s="27" t="inlineStr">
        <is>
          <t>Inhalt unverändert; Fundstelle der Durchsicht übernommen.</t>
        </is>
      </c>
    </row>
    <row r="71" ht="74.59999999999999" customHeight="1" s="17">
      <c r="A71" s="26" t="inlineStr">
        <is>
          <t>B-070</t>
        </is>
      </c>
      <c r="B71" s="26" t="inlineStr">
        <is>
          <t>Büro / Laden</t>
        </is>
      </c>
      <c r="C71" s="26" t="inlineStr">
        <is>
          <t>Gefährdungsbeurteilung</t>
        </is>
      </c>
      <c r="D71" s="26" t="inlineStr">
        <is>
          <t>Gefährdungen</t>
        </is>
      </c>
      <c r="E71" s="26" t="inlineStr">
        <is>
          <t>Brandentstehung und unzureichende Möglichkeiten zur Brandbekämpfung und Flucht.</t>
        </is>
      </c>
      <c r="F71" s="26" t="inlineStr">
        <is>
          <t>Faktor: Sonstige Gefährdungen Maßnahmen: Geeignete Feuerlöscher in ausreichender Zahl (Prüfung alle zwei Jahre); Standorte kennzeichnen und freihalten. Nicht benötigte Geräte abschalten; Sicherheitsabstand zu brennbarem Material; Brandschutztüren nicht festkeilen. Ausreichend Beschäftigte im Umgang mit Feuerlöscheinrichtungen unterweisen und üben lassen.</t>
        </is>
      </c>
      <c r="G71" s="26" t="n"/>
      <c r="H71" s="26" t="inlineStr">
        <is>
          <t>BGHW A 131 (Stand 06/2022); § 22 Abs. 2 DGUV Vorschrift 1</t>
        </is>
      </c>
      <c r="I71" s="26" t="inlineStr">
        <is>
          <t>Quelle genannt</t>
        </is>
      </c>
      <c r="J71" s="26" t="inlineStr">
        <is>
          <t>frei</t>
        </is>
      </c>
      <c r="K71" s="26" t="n"/>
      <c r="L71" s="26" t="inlineStr">
        <is>
          <t>ASR A2.2; BGHW A 131</t>
        </is>
      </c>
      <c r="M71" s="26" t="n"/>
      <c r="N71" s="26" t="inlineStr">
        <is>
          <t>plausibel</t>
        </is>
      </c>
      <c r="O71" s="27" t="inlineStr">
        <is>
          <t>umgesetzt</t>
        </is>
      </c>
      <c r="P71" s="27" t="inlineStr">
        <is>
          <t>Inhalt unverändert; Fundstelle der Durchsicht übernommen.</t>
        </is>
      </c>
    </row>
    <row r="72" ht="74.59999999999999" customHeight="1" s="17">
      <c r="A72" s="26" t="inlineStr">
        <is>
          <t>B-071</t>
        </is>
      </c>
      <c r="B72" s="26" t="inlineStr">
        <is>
          <t>Büro / Laden</t>
        </is>
      </c>
      <c r="C72" s="26" t="inlineStr">
        <is>
          <t>Gefährdungsbeurteilung</t>
        </is>
      </c>
      <c r="D72" s="26" t="inlineStr">
        <is>
          <t>Gefährdungen</t>
        </is>
      </c>
      <c r="E72" s="26" t="inlineStr">
        <is>
          <t>Unzureichende Erste Hilfe bei Unfällen.</t>
        </is>
      </c>
      <c r="F72" s="26" t="inlineStr">
        <is>
          <t>Faktor: Sonstige Gefährdungen Maßnahmen: Verbandmaterial bereitstellen und regelmäßig prüfen. Ersthelfer benennen und ausbilden (bei 2 bis 20 anwesenden Versicherten mindestens ein Ersthelfer; darüber in Verwaltungs- und Handelsbetrieben 5 %), alle zwei Jahre fortbilden. Jede Erste-Hilfe-Leistung dokumentieren (z. B. Verbandbuch) und fünf Jahre verfügbar halten.</t>
        </is>
      </c>
      <c r="G72" s="26" t="inlineStr">
        <is>
          <t>5 %</t>
        </is>
      </c>
      <c r="H72" s="26" t="inlineStr">
        <is>
          <t>§§ 24 Abs. 6, 26 Abs. 1 DGUV Vorschrift 1</t>
        </is>
      </c>
      <c r="I72" s="26" t="inlineStr">
        <is>
          <t>Quelle genannt</t>
        </is>
      </c>
      <c r="J72" s="26" t="inlineStr">
        <is>
          <t>ändern</t>
        </is>
      </c>
      <c r="K72" s="26" t="inlineStr">
        <is>
          <t>Quote ergänzen: „über 20: Verwaltung/Handel 5 %, sonstige Betriebe 10 %“; Fortbildung „in der Regel alle zwei Jahre“.</t>
        </is>
      </c>
      <c r="L72" s="26" t="inlineStr">
        <is>
          <t>§§ 24 Abs. 6, 26 Abs. 1, 3 DGUV Vorschrift 1</t>
        </is>
      </c>
      <c r="M72" s="26" t="inlineStr">
        <is>
          <t>Baustein steht nur bei Büro/Laden, passt aber für alle.</t>
        </is>
      </c>
      <c r="N72" s="26" t="inlineStr">
        <is>
          <t>plausibel</t>
        </is>
      </c>
      <c r="O72" s="27" t="inlineStr">
        <is>
          <t>umgesetzt</t>
        </is>
      </c>
      <c r="P72" s="27" t="inlineStr">
        <is>
          <t>Quote 10 % für sonstige Betriebe, „in der Regel“ alle zwei Jahre; Baustein gilt jetzt für alle Branchen.</t>
        </is>
      </c>
    </row>
    <row r="73" ht="116.4" customHeight="1" s="17">
      <c r="A73" s="26" t="inlineStr">
        <is>
          <t>B-072</t>
        </is>
      </c>
      <c r="B73" s="26" t="inlineStr">
        <is>
          <t>Handwerk / Bau (inkl. Holz / Tischlerei)</t>
        </is>
      </c>
      <c r="C73" s="26" t="inlineStr">
        <is>
          <t>Gefährdungsbeurteilung</t>
        </is>
      </c>
      <c r="D73" s="26" t="inlineStr">
        <is>
          <t>Gefährdungen</t>
        </is>
      </c>
      <c r="E73" s="26" t="inlineStr">
        <is>
          <t>Elektrischer Schlag und Störlichtbogen bei Arbeiten an oder in der Nähe elektrischer Anlagen.</t>
        </is>
      </c>
      <c r="F73" s="26" t="inlineStr">
        <is>
          <t>Faktor: Gestaltung, Auswahl und Einsatz von Arbeitsmitteln (Arbeitsstoffe, Maschinen, Geräte, Anlagen) und der Umgang damit Risiko (vorbelegt): hoch Maßnahmen: Arbeiten nur im spannungsfreien Zustand nach den fünf Sicherheitsregeln (freischalten, gegen Wiedereinschalten sichern, Spannungsfreiheit feststellen, erden und kurzschließen, benachbarte unter Spannung stehende Teile abdecken oder abschranken). Arbeiten nur durch Elektrofachkräfte bzw. elektrotechnisch unterwiesene Personen unter deren Leitung und Aufsicht. Geeignete isolierte Werkzeuge, Spannungsprüfer und persönliche Schutzausrüstung (z. B. Gesichtsschutz gegen Störlichtbogen) bereitstellen und prüfen.</t>
        </is>
      </c>
      <c r="G73" s="26" t="n"/>
      <c r="H73" s="26" t="inlineStr">
        <is>
          <t>DIN VDE 0105-100; DGUV Vorschrift 3</t>
        </is>
      </c>
      <c r="I73" s="26" t="inlineStr">
        <is>
          <t>Quelle genannt</t>
        </is>
      </c>
      <c r="J73" s="26" t="inlineStr">
        <is>
          <t>frei</t>
        </is>
      </c>
      <c r="K73" s="26" t="n"/>
      <c r="L73" s="26" t="inlineStr">
        <is>
          <t>DIN VDE 0105-100; DGUV V3 § 6</t>
        </is>
      </c>
      <c r="M73" s="26" t="n"/>
      <c r="N73" s="26" t="inlineStr">
        <is>
          <t>plausibel</t>
        </is>
      </c>
      <c r="O73" s="27" t="inlineStr">
        <is>
          <t>umgesetzt</t>
        </is>
      </c>
      <c r="P73" s="27" t="inlineStr">
        <is>
          <t>Inhalt unverändert; Fundstelle der Durchsicht übernommen.</t>
        </is>
      </c>
    </row>
    <row r="74" ht="116.4" customHeight="1" s="17">
      <c r="A74" s="26" t="inlineStr">
        <is>
          <t>B-073</t>
        </is>
      </c>
      <c r="B74" s="26" t="inlineStr">
        <is>
          <t>Alle Branchen (ohne Gruppe)</t>
        </is>
      </c>
      <c r="C74" s="26" t="inlineStr">
        <is>
          <t>Gefährdungsbeurteilung</t>
        </is>
      </c>
      <c r="D74" s="26" t="inlineStr">
        <is>
          <t>Gefährdungen</t>
        </is>
      </c>
      <c r="E74" s="26" t="inlineStr">
        <is>
          <t>Jugendliche Beschäftigte: Gefährdungen durch fehlende Erfahrung, Arbeitszeit und verbotene Arbeiten.</t>
        </is>
      </c>
      <c r="F74" s="26" t="inlineStr">
        <is>
          <t>Faktor: Unzureichende Qualifikation und Unterweisung der Beschäftigten Gefährdung: Jugendliche Beschäftigte (unter 18 Jahren): Gefährdungen durch fehlende Erfahrung, Arbeitszeit und Tätigkeiten, die für Jugendliche verboten oder beschränkt sind. Maßnahmen: Vor Beginn der Beschäftigung und bei wesentlicher Änderung der Arbeitsbedingungen die Gefährdungen für Jugendliche beurteilen (§ 28a JArbSchG). Gefährliche Arbeiten nach § 22 JArbSchG nur, soweit zur Ausbildung erforderlich und unter Aufsicht einer fachkundigen Person. Vor Beginn und danach mindestens halbjährlich unterweisen (§ 29 JArbSchG); Arbeitszeit- und Pausenregeln (§§ 8–14 JArbSchG) einhalten.</t>
        </is>
      </c>
      <c r="G74" s="26" t="inlineStr">
        <is>
          <t>unter 18 Jahren</t>
        </is>
      </c>
      <c r="H74" s="26" t="inlineStr">
        <is>
          <t>§§ 22, 28a, 29 JArbSchG</t>
        </is>
      </c>
      <c r="I74" s="26" t="inlineStr">
        <is>
          <t>Quelle genannt</t>
        </is>
      </c>
      <c r="J74" s="26" t="inlineStr">
        <is>
          <t>ändern</t>
        </is>
      </c>
      <c r="K74" s="26" t="inlineStr">
        <is>
          <t>Ergänzen: „Werden Jugendliche in einem Betrieb beschäftigt, für den Fachkraft/Betriebsarzt verpflichtet ist, muss deren Betreuung sichergestellt sein (§ 22 Abs. 3 JArbSchG).“ Bei § 22-Ausnahme Wortlaut Abs. 2 übernehmen (Ausbildungsziel, Aufsicht durch Fachkundigen).</t>
        </is>
      </c>
      <c r="L74" s="26" t="inlineStr">
        <is>
          <t>§§ 22, 28a, 29 JArbSchG</t>
        </is>
      </c>
      <c r="M74" s="26" t="inlineStr">
        <is>
          <t>Inhalt richtig; Betreuungshinweis fehlt.</t>
        </is>
      </c>
      <c r="N74" s="26" t="inlineStr">
        <is>
          <t>plausibel</t>
        </is>
      </c>
      <c r="O74" s="27" t="inlineStr">
        <is>
          <t>umgesetzt</t>
        </is>
      </c>
      <c r="P74" s="27" t="inlineStr">
        <is>
          <t>Korrektur übernommen, Fundstelle ersetzt.</t>
        </is>
      </c>
    </row>
    <row r="75" ht="53.7" customHeight="1" s="17">
      <c r="A75" s="26" t="inlineStr">
        <is>
          <t>B-074</t>
        </is>
      </c>
      <c r="B75" s="26" t="inlineStr">
        <is>
          <t>Gebäudereinigung</t>
        </is>
      </c>
      <c r="C75" s="26" t="inlineStr">
        <is>
          <t>Gefährdungsbeurteilung</t>
        </is>
      </c>
      <c r="D75" s="26" t="inlineStr">
        <is>
          <t>Gefährdungen</t>
        </is>
      </c>
      <c r="E75" s="26" t="inlineStr">
        <is>
          <t>Alleinarbeit: Reinigung allein im Objekt, oft außerhalb der üblichen Arbeitszeit.</t>
        </is>
      </c>
      <c r="F75" s="26" t="inlineStr">
        <is>
          <t>Faktor: Gestaltung von Arbeits- und Fertigungsverfahren, Arbeitsabläufen und Arbeitszeit und deren Zusammenwirken Maßnahmen: Erreichbarkeit regeln (z. B. Mobiltelefon, vereinbarte Meldezeiten). Erste Hilfe und Notruf für allein arbeitende Beschäftigte organisieren.</t>
        </is>
      </c>
      <c r="G75" s="26" t="n"/>
      <c r="H75" s="26" t="inlineStr">
        <is>
          <t>Nutzertest Gebäudereinigung – fachlich zu prüfen</t>
        </is>
      </c>
      <c r="I75" s="26" t="inlineStr">
        <is>
          <t>fachlich zu prüfen; Quelle: Nutzertest, keine Fachquelle</t>
        </is>
      </c>
      <c r="J75" s="26" t="inlineStr">
        <is>
          <t>frei</t>
        </is>
      </c>
      <c r="K75" s="26" t="inlineStr">
        <is>
          <t>Quelle einsetzen.</t>
        </is>
      </c>
      <c r="L75" s="26" t="inlineStr">
        <is>
          <t>DGUV Regel 112-139 (Personen-Notsignal-Anlagen); BG BAU</t>
        </is>
      </c>
      <c r="M75" s="26" t="n"/>
      <c r="N75" s="26" t="inlineStr">
        <is>
          <t>plausibel</t>
        </is>
      </c>
      <c r="O75" s="27" t="inlineStr">
        <is>
          <t>umgesetzt</t>
        </is>
      </c>
      <c r="P75" s="27" t="inlineStr">
        <is>
          <t>Inhalt unverändert; Fundstelle der Durchsicht übernommen; Vermerk „Nutzertest“/„fachlich zu prüfen“ entfernt. Hinweis „Quelle einsetzen.“ berücksichtigt.</t>
        </is>
      </c>
    </row>
    <row r="76" ht="74.59999999999999" customHeight="1" s="17">
      <c r="A76" s="26" t="inlineStr">
        <is>
          <t>B-075</t>
        </is>
      </c>
      <c r="B76" s="26" t="inlineStr">
        <is>
          <t>Gebäudereinigung</t>
        </is>
      </c>
      <c r="C76" s="26" t="inlineStr">
        <is>
          <t>Gefährdungsbeurteilung</t>
        </is>
      </c>
      <c r="D76" s="26" t="inlineStr">
        <is>
          <t>Gefährdungen</t>
        </is>
      </c>
      <c r="E76" s="26" t="inlineStr">
        <is>
          <t>Arbeit im fremden Betrieb: Gefahren im Objekt des Auftraggebers.</t>
        </is>
      </c>
      <c r="F76" s="26" t="inlineStr">
        <is>
          <t>Faktor: Gestaltung von Arbeits- und Fertigungsverfahren, Arbeitsabläufen und Arbeitszeit und deren Zusammenwirken Gefährdung: Arbeit im fremden Betrieb: Gefahren im Objekt des Auftraggebers (z. B. Maschinen, Gefahrstoffe, Zutrittsbereiche). Maßnahmen: Mit dem Auftraggeber die Gefahren im Objekt und die Schutzmaßnahmen abstimmen (§ 8 ArbSchG). Beschäftigte über die Gefahren im jeweiligen Objekt unterweisen.</t>
        </is>
      </c>
      <c r="G76" s="26" t="n"/>
      <c r="H76" s="26" t="inlineStr">
        <is>
          <t>§ 8 ArbSchG – fachlich zu prüfen</t>
        </is>
      </c>
      <c r="I76" s="26" t="inlineStr">
        <is>
          <t>fachlich zu prüfen</t>
        </is>
      </c>
      <c r="J76" s="26" t="inlineStr">
        <is>
          <t>frei</t>
        </is>
      </c>
      <c r="K76" s="26" t="n"/>
      <c r="L76" s="26" t="inlineStr">
        <is>
          <t>§ 8 ArbSchG; § 6 DGUV V1</t>
        </is>
      </c>
      <c r="M76" s="26" t="n"/>
      <c r="N76" s="26" t="inlineStr">
        <is>
          <t>plausibel</t>
        </is>
      </c>
      <c r="O76" s="27" t="inlineStr">
        <is>
          <t>umgesetzt</t>
        </is>
      </c>
      <c r="P76" s="27" t="inlineStr">
        <is>
          <t>Inhalt unverändert; Fundstelle der Durchsicht übernommen; Vermerk „Nutzertest“/„fachlich zu prüfen“ entfernt.</t>
        </is>
      </c>
    </row>
    <row r="77" ht="53.7" customHeight="1" s="17">
      <c r="A77" s="26" t="inlineStr">
        <is>
          <t>B-076</t>
        </is>
      </c>
      <c r="B77" s="26" t="inlineStr">
        <is>
          <t>Gebäudereinigung</t>
        </is>
      </c>
      <c r="C77" s="26" t="inlineStr">
        <is>
          <t>Gefährdungsbeurteilung</t>
        </is>
      </c>
      <c r="D77" s="26" t="inlineStr">
        <is>
          <t>Gefährdungen</t>
        </is>
      </c>
      <c r="E77" s="26" t="inlineStr">
        <is>
          <t>Mischen von Reinigungsmitteln: gefährliche Reaktionen, Haut- und Atemwegsreizungen.</t>
        </is>
      </c>
      <c r="F77" s="26" t="inlineStr">
        <is>
          <t>Faktor: Physikalische, chemische und biologische Einwirkungen Maßnahmen: Reinigungsmittel nicht mischen; nur in Originalbehältern oder gekennzeichneten Gefäßen aufbewahren. Dosierhilfen verwenden; Betriebsanweisung und Unterweisung zu den eingesetzten Reinigungsmitteln.</t>
        </is>
      </c>
      <c r="G77" s="26" t="n"/>
      <c r="H77" s="26" t="inlineStr">
        <is>
          <t>Nutzertest Gebäudereinigung – fachlich zu prüfen</t>
        </is>
      </c>
      <c r="I77" s="26" t="inlineStr">
        <is>
          <t>fachlich zu prüfen; Quelle: Nutzertest, keine Fachquelle</t>
        </is>
      </c>
      <c r="J77" s="26" t="inlineStr">
        <is>
          <t>frei</t>
        </is>
      </c>
      <c r="K77" s="26" t="inlineStr">
        <is>
          <t>Quelle einsetzen.</t>
        </is>
      </c>
      <c r="L77" s="26" t="inlineStr">
        <is>
          <t>DGUV Regel 101-019 (Reinigungs- und Pflegemittel); TRGS 510</t>
        </is>
      </c>
      <c r="M77" s="26" t="n"/>
      <c r="N77" s="26" t="inlineStr">
        <is>
          <t>plausibel</t>
        </is>
      </c>
      <c r="O77" s="27" t="inlineStr">
        <is>
          <t>umgesetzt</t>
        </is>
      </c>
      <c r="P77" s="27" t="inlineStr">
        <is>
          <t>Inhalt unverändert; Fundstelle der Durchsicht übernommen; Vermerk „Nutzertest“/„fachlich zu prüfen“ entfernt. Hinweis „Quelle einsetzen.“ berücksichtigt.</t>
        </is>
      </c>
    </row>
    <row r="78" ht="64.15000000000001" customHeight="1" s="17">
      <c r="A78" s="26" t="inlineStr">
        <is>
          <t>B-077</t>
        </is>
      </c>
      <c r="B78" s="26" t="inlineStr">
        <is>
          <t>Gebäudereinigung</t>
        </is>
      </c>
      <c r="C78" s="26" t="inlineStr">
        <is>
          <t>Gefährdungsbeurteilung</t>
        </is>
      </c>
      <c r="D78" s="26" t="inlineStr">
        <is>
          <t>Gefährdungen</t>
        </is>
      </c>
      <c r="E78" s="26" t="inlineStr">
        <is>
          <t>Stich- und Infektionsgefahr durch Abfall in Arztpraxen.</t>
        </is>
      </c>
      <c r="F78" s="26" t="inlineStr">
        <is>
          <t>Faktor: Physikalische, chemische und biologische Einwirkungen Gefährdung: Stich- und Infektionsgefahr durch Abfall in Arztpraxen (z. B. Kanülen im Müll). Maßnahmen: Abfälle nicht mit der Hand nachdrücken oder umfüllen; mit der Praxis stichfeste Abfallbehälter vereinbaren. Geeignete Schutzhandschuhe bereitstellen; Vorgehen nach einer Stich- oder Schnittverletzung festlegen.</t>
        </is>
      </c>
      <c r="G78" s="26" t="n"/>
      <c r="H78" s="26" t="inlineStr">
        <is>
          <t>Nutzertest Gebäudereinigung – fachlich zu prüfen</t>
        </is>
      </c>
      <c r="I78" s="26" t="inlineStr">
        <is>
          <t>fachlich zu prüfen; Quelle: Nutzertest, keine Fachquelle</t>
        </is>
      </c>
      <c r="J78" s="26" t="inlineStr">
        <is>
          <t>frei</t>
        </is>
      </c>
      <c r="K78" s="26" t="n"/>
      <c r="L78" s="26" t="inlineStr">
        <is>
          <t>TRBA 250; § 11 BioStoffV</t>
        </is>
      </c>
      <c r="M78" s="26" t="n"/>
      <c r="N78" s="26" t="inlineStr">
        <is>
          <t>plausibel</t>
        </is>
      </c>
      <c r="O78" s="27" t="inlineStr">
        <is>
          <t>umgesetzt</t>
        </is>
      </c>
      <c r="P78" s="27" t="inlineStr">
        <is>
          <t>Inhalt unverändert; Fundstelle der Durchsicht übernommen; Vermerk „Nutzertest“/„fachlich zu prüfen“ entfernt.</t>
        </is>
      </c>
    </row>
    <row r="79" ht="64.15000000000001" customHeight="1" s="17">
      <c r="A79" s="26" t="inlineStr">
        <is>
          <t>B-078</t>
        </is>
      </c>
      <c r="B79" s="26" t="inlineStr">
        <is>
          <t>Gebäudereinigung</t>
        </is>
      </c>
      <c r="C79" s="26" t="inlineStr">
        <is>
          <t>Gefährdungsbeurteilung</t>
        </is>
      </c>
      <c r="D79" s="26" t="inlineStr">
        <is>
          <t>Gefährdungen</t>
        </is>
      </c>
      <c r="E79" s="26" t="inlineStr">
        <is>
          <t>Wege und Fahrten zwischen den Objekten.</t>
        </is>
      </c>
      <c r="F79" s="26" t="inlineStr">
        <is>
          <t>Faktor: Gestaltung von Arbeits- und Fertigungsverfahren, Arbeitsabläufen und Arbeitszeit und deren Zusammenwirken Gefährdung: Wege und Fahrten zwischen den Objekten: Unfälle im Straßenverkehr, Zeitdruck. Maßnahmen: Touren mit ausreichend Zeit planen. Firmenfahrzeuge regelmäßig prüfen lassen; Geräte und Mittel im Fahrzeug sichern.</t>
        </is>
      </c>
      <c r="G79" s="26" t="n"/>
      <c r="H79" s="26" t="inlineStr">
        <is>
          <t>Nutzertest Gebäudereinigung – fachlich zu prüfen</t>
        </is>
      </c>
      <c r="I79" s="26" t="inlineStr">
        <is>
          <t>fachlich zu prüfen; Quelle: Nutzertest, keine Fachquelle</t>
        </is>
      </c>
      <c r="J79" s="26" t="inlineStr">
        <is>
          <t>frei</t>
        </is>
      </c>
      <c r="K79" s="26" t="n"/>
      <c r="L79" s="26" t="inlineStr">
        <is>
          <t>§ 57 DGUV V70; § 22 StVO</t>
        </is>
      </c>
      <c r="M79" s="26" t="n"/>
      <c r="N79" s="26" t="inlineStr">
        <is>
          <t>plausibel</t>
        </is>
      </c>
      <c r="O79" s="27" t="inlineStr">
        <is>
          <t>umgesetzt</t>
        </is>
      </c>
      <c r="P79" s="27" t="inlineStr">
        <is>
          <t>Inhalt unverändert; Fundstelle der Durchsicht übernommen; Vermerk „Nutzertest“/„fachlich zu prüfen“ entfernt.</t>
        </is>
      </c>
    </row>
    <row r="80" ht="64.15000000000001" customHeight="1" s="17">
      <c r="A80" s="26" t="inlineStr">
        <is>
          <t>B-079</t>
        </is>
      </c>
      <c r="B80" s="26" t="inlineStr">
        <is>
          <t>Handwerk / Bau (inkl. Holz / Tischlerei)</t>
        </is>
      </c>
      <c r="C80" s="26" t="inlineStr">
        <is>
          <t>Gefährdungsbeurteilung</t>
        </is>
      </c>
      <c r="D80" s="26" t="inlineStr">
        <is>
          <t>Gefährdungen</t>
        </is>
      </c>
      <c r="E80" s="26" t="inlineStr">
        <is>
          <t>Hartholzstaub (krebserzeugend) beim Sägen, Fräsen und Schleifen.</t>
        </is>
      </c>
      <c r="F80" s="26" t="inlineStr">
        <is>
          <t>Faktor: Physikalische, chemische und biologische Einwirkungen Risiko (vorbelegt): hoch Maßnahmen: Staub an der Entstehungsstelle absaugen; Maschinen an eine geeignete Absaugung anschließen. Nicht trocken kehren oder mit Druckluft abblasen, sondern absaugen. Arbeitsmedizinische Vorsorge prüfen.</t>
        </is>
      </c>
      <c r="G80" s="26" t="n"/>
      <c r="H80" s="26" t="inlineStr">
        <is>
          <t>TRGS 553 – fachlich zu prüfen</t>
        </is>
      </c>
      <c r="I80" s="26" t="inlineStr">
        <is>
          <t>fachlich zu prüfen</t>
        </is>
      </c>
      <c r="J80" s="26" t="inlineStr">
        <is>
          <t>ändern</t>
        </is>
      </c>
      <c r="K80" s="26" t="inlineStr">
        <is>
          <t>Ergänzen: AGW Holzstaub 2 mg/m³; Hartholzstaub ist krebserzeugend → Expositionsverzeichnis (§ 10a GefStoffV n. F.); Vorsorge: Angebotsvorsorge, wenn Exposition nicht ausgeschlossen (ArbMedVV Anh. Teil 1 Abs. 2 Nr. 1), Pflichtvorsorge nach Abs. 1 Nr. 1.</t>
        </is>
      </c>
      <c r="L80" s="26" t="inlineStr">
        <is>
          <t>TRGS 553; ArbMedVV Anhang Teil 1 Abs. 1 Nr. 1 („Hartholzstaub“); DGUV Regel 109-606</t>
        </is>
      </c>
      <c r="M80" s="26" t="inlineStr">
        <is>
          <t>Hartholzstaub steht in der Liste der ArbMedVV (nachgelesen) – K-002 erledigt.</t>
        </is>
      </c>
      <c r="N80" s="26" t="inlineStr">
        <is>
          <t>bestätigt</t>
        </is>
      </c>
      <c r="O80" s="27" t="inlineStr">
        <is>
          <t>umgesetzt</t>
        </is>
      </c>
      <c r="P80" s="27" t="inlineStr">
        <is>
          <t>AGW 2 mg/m³, Expositionsverzeichnis (§ 10a GefStoffV) und Vorsorge nach ArbMedVV ergänzt; neue Vorlage „Expositionsverzeichnis“.</t>
        </is>
      </c>
    </row>
    <row r="81" ht="64.15000000000001" customHeight="1" s="17">
      <c r="A81" s="26" t="inlineStr">
        <is>
          <t>B-080</t>
        </is>
      </c>
      <c r="B81" s="26" t="inlineStr">
        <is>
          <t>Handwerk / Bau (inkl. Holz / Tischlerei)</t>
        </is>
      </c>
      <c r="C81" s="26" t="inlineStr">
        <is>
          <t>Gefährdungsbeurteilung</t>
        </is>
      </c>
      <c r="D81" s="26" t="inlineStr">
        <is>
          <t>Gefährdungen</t>
        </is>
      </c>
      <c r="E81" s="26" t="inlineStr">
        <is>
          <t>Brand- und Explosionsgefahr durch Holzstaub und Absaugung.</t>
        </is>
      </c>
      <c r="F81" s="26" t="inlineStr">
        <is>
          <t>Faktor: Physikalische, chemische und biologische Einwirkungen Risiko (vorbelegt): hoch Gefährdung: Brand- und Explosionsgefahr durch Holzstaub, Späne und die Absauganlage. Maßnahmen: Absaugung und Späneabfuhr regelmäßig warten und reinigen; Staubablagerungen vermeiden. Zündquellen fernhalten; geeignete Feuerlöscher bereithalten.</t>
        </is>
      </c>
      <c r="G81" s="26" t="n"/>
      <c r="H81" s="26" t="inlineStr">
        <is>
          <t>Nutzertest Tischlerei – fachlich zu prüfen</t>
        </is>
      </c>
      <c r="I81" s="26" t="inlineStr">
        <is>
          <t>fachlich zu prüfen; Quelle: Nutzertest, keine Fachquelle</t>
        </is>
      </c>
      <c r="J81" s="26" t="inlineStr">
        <is>
          <t>ändern</t>
        </is>
      </c>
      <c r="K81" s="26" t="inlineStr">
        <is>
          <t>Faktor auf „Sonstige Gefährdungen (Brand/Explosion)“ umstellen.</t>
        </is>
      </c>
      <c r="L81" s="26" t="inlineStr">
        <is>
          <t>TRGS 553; DGUV Regel 109-606</t>
        </is>
      </c>
      <c r="M81" s="26" t="inlineStr">
        <is>
          <t>Fachquelle statt Nutzertest.</t>
        </is>
      </c>
      <c r="N81" s="26" t="inlineStr">
        <is>
          <t>plausibel</t>
        </is>
      </c>
      <c r="O81" s="27" t="inlineStr">
        <is>
          <t>umgesetzt</t>
        </is>
      </c>
      <c r="P81" s="27" t="inlineStr">
        <is>
          <t>Faktor „Sonstige Gefährdungen“, Unterpunkt „Brand- und Explosionsgefährdung“; Fachquelle statt Nutzertest.</t>
        </is>
      </c>
    </row>
    <row r="82" ht="95.5" customHeight="1" s="17">
      <c r="A82" s="26" t="inlineStr">
        <is>
          <t>B-081</t>
        </is>
      </c>
      <c r="B82" s="26" t="inlineStr">
        <is>
          <t>Handwerk / Bau (inkl. Holz / Tischlerei)</t>
        </is>
      </c>
      <c r="C82" s="26" t="inlineStr">
        <is>
          <t>Gefährdungsbeurteilung</t>
        </is>
      </c>
      <c r="D82" s="26" t="inlineStr">
        <is>
          <t>Gefährdungen</t>
        </is>
      </c>
      <c r="E82" s="26" t="inlineStr">
        <is>
          <t>Holzbearbeitungsmaschinen: Rückschlag und Schnittverletzungen.</t>
        </is>
      </c>
      <c r="F82" s="26" t="inlineStr">
        <is>
          <t>Faktor: Gestaltung, Auswahl und Einsatz von Arbeitsmitteln (Arbeitsstoffe, Maschinen, Geräte, Anlagen) und der Umgang damit Risiko (vorbelegt): hoch Gefährdung: Holzbearbeitungsmaschinen (z. B. Kreissäge, Fräse, Hobel): Rückschlag des Werkstücks und Schnittverletzungen. Maßnahmen: Schutzeinrichtungen verwenden und nicht entfernen; Schiebestock bzw. Zuführhilfen benutzen. Maschinen nur durch unterwiesene Beschäftigte bedienen lassen. Maschinen und Schutzeinrichtungen regelmäßig prüfen (§ 14 BetrSichV).</t>
        </is>
      </c>
      <c r="G82" s="26" t="n"/>
      <c r="H82" s="26" t="inlineStr">
        <is>
          <t>§ 14 BetrSichV – fachlich zu prüfen</t>
        </is>
      </c>
      <c r="I82" s="26" t="inlineStr">
        <is>
          <t>fachlich zu prüfen</t>
        </is>
      </c>
      <c r="J82" s="26" t="inlineStr">
        <is>
          <t>frei</t>
        </is>
      </c>
      <c r="K82" s="26" t="n"/>
      <c r="L82" s="26" t="inlineStr">
        <is>
          <t>DGUV Regel 109-606; §§ 12, 14 BetrSichV</t>
        </is>
      </c>
      <c r="M82" s="26" t="n"/>
      <c r="N82" s="26" t="inlineStr">
        <is>
          <t>plausibel</t>
        </is>
      </c>
      <c r="O82" s="27" t="inlineStr">
        <is>
          <t>umgesetzt</t>
        </is>
      </c>
      <c r="P82" s="27" t="inlineStr">
        <is>
          <t>Inhalt unverändert; Fundstelle der Durchsicht übernommen; Vermerk „Nutzertest“/„fachlich zu prüfen“ entfernt.</t>
        </is>
      </c>
    </row>
    <row r="83" ht="53.7" customHeight="1" s="17">
      <c r="A83" s="26" t="inlineStr">
        <is>
          <t>B-082</t>
        </is>
      </c>
      <c r="B83" s="26" t="inlineStr">
        <is>
          <t>Handwerk / Bau (inkl. Holz / Tischlerei)</t>
        </is>
      </c>
      <c r="C83" s="26" t="inlineStr">
        <is>
          <t>Gefährdungsbeurteilung</t>
        </is>
      </c>
      <c r="D83" s="26" t="inlineStr">
        <is>
          <t>Gefährdungen</t>
        </is>
      </c>
      <c r="E83" s="26" t="inlineStr">
        <is>
          <t>Spritzlackieren: Lösemitteldämpfe, Farbnebel und Brandgefahr.</t>
        </is>
      </c>
      <c r="F83" s="26" t="inlineStr">
        <is>
          <t>Faktor: Physikalische, chemische und biologische Einwirkungen Maßnahmen: Nur mit wirksamer Absaugung bzw. Lüftung lackieren. Gefahrstoffverzeichnis und Betriebsanweisung für Lacke und Verdünner; geeigneten Atemschutz bereitstellen. Zündquellen fernhalten.</t>
        </is>
      </c>
      <c r="G83" s="26" t="n"/>
      <c r="H83" s="26" t="inlineStr">
        <is>
          <t>Nutzertest Tischlerei – fachlich zu prüfen</t>
        </is>
      </c>
      <c r="I83" s="26" t="inlineStr">
        <is>
          <t>fachlich zu prüfen; Quelle: Nutzertest, keine Fachquelle</t>
        </is>
      </c>
      <c r="J83" s="26" t="inlineStr">
        <is>
          <t>frei</t>
        </is>
      </c>
      <c r="K83" s="26" t="inlineStr">
        <is>
          <t>Fachquelle einsetzen.</t>
        </is>
      </c>
      <c r="L83" s="26" t="inlineStr">
        <is>
          <t>DGUV Regel 109-606; TRGS 500/510</t>
        </is>
      </c>
      <c r="M83" s="26" t="n"/>
      <c r="N83" s="26" t="inlineStr">
        <is>
          <t>offen</t>
        </is>
      </c>
      <c r="O83" s="27" t="inlineStr">
        <is>
          <t>umgesetzt</t>
        </is>
      </c>
      <c r="P83" s="27" t="inlineStr">
        <is>
          <t>Inhalt unverändert; Fundstelle der Durchsicht übernommen; Vermerk „fachlich zu prüfen“ bleibt (Prüfstand offen). Hinweis „Fachquelle einsetzen.“ berücksichtigt.</t>
        </is>
      </c>
    </row>
    <row r="84" ht="64.15000000000001" customHeight="1" s="17">
      <c r="A84" s="26" t="inlineStr">
        <is>
          <t>B-083</t>
        </is>
      </c>
      <c r="B84" s="26" t="inlineStr">
        <is>
          <t>Handwerk / Bau (inkl. Holz / Tischlerei)</t>
        </is>
      </c>
      <c r="C84" s="26" t="inlineStr">
        <is>
          <t>Gefährdungsbeurteilung</t>
        </is>
      </c>
      <c r="D84" s="26" t="inlineStr">
        <is>
          <t>Gefährdungen</t>
        </is>
      </c>
      <c r="E84" s="26" t="inlineStr">
        <is>
          <t>Lärm an Holzbearbeitungsmaschinen.</t>
        </is>
      </c>
      <c r="F84" s="26" t="inlineStr">
        <is>
          <t>Faktor: Physikalische, chemische und biologische Einwirkungen Maßnahmen: Lärmarme Maschinen und Werkzeuge auswählen; Lärmbereiche kennzeichnen. Gehörschutz bereitstellen und tragen lassen (LärmVibrationsArbSchV). Arbeitsmedizinische Vorsorge anbieten ab 80 dB(A), Pflichtvorsorge ab 85 dB(A) (ArbMedVV Anhang Teil 3).</t>
        </is>
      </c>
      <c r="G84" s="26" t="inlineStr">
        <is>
          <t>ab 80 dB(A); ab 85 dB(A)</t>
        </is>
      </c>
      <c r="H84" s="26" t="inlineStr">
        <is>
          <t>LärmVibrationsArbSchV; ArbMedVV – fachlich zu prüfen</t>
        </is>
      </c>
      <c r="I84" s="26" t="inlineStr">
        <is>
          <t>fachlich zu prüfen</t>
        </is>
      </c>
      <c r="J84" s="26" t="inlineStr">
        <is>
          <t>frei</t>
        </is>
      </c>
      <c r="K84" s="26" t="n"/>
      <c r="L84" s="26" t="inlineStr">
        <is>
          <t>LärmVibrationsArbSchV; ArbMedVV Anh. Teil 3</t>
        </is>
      </c>
      <c r="M84" s="26" t="inlineStr">
        <is>
          <t>Werte bestätigt.</t>
        </is>
      </c>
      <c r="N84" s="26" t="inlineStr">
        <is>
          <t>bestätigt</t>
        </is>
      </c>
      <c r="O84" s="27" t="inlineStr">
        <is>
          <t>umgesetzt</t>
        </is>
      </c>
      <c r="P84" s="27" t="inlineStr">
        <is>
          <t>Inhalt unverändert; Fundstelle der Durchsicht übernommen; Vermerk „Nutzertest“/„fachlich zu prüfen“ entfernt.</t>
        </is>
      </c>
    </row>
    <row r="85" ht="95.5" customHeight="1" s="17">
      <c r="A85" s="26" t="inlineStr">
        <is>
          <t>B-084</t>
        </is>
      </c>
      <c r="B85" s="26" t="inlineStr">
        <is>
          <t>Kfz-Werkstatt</t>
        </is>
      </c>
      <c r="C85" s="26" t="inlineStr">
        <is>
          <t>Gefährdungsbeurteilung</t>
        </is>
      </c>
      <c r="D85" s="26" t="inlineStr">
        <is>
          <t>Gefährdungen</t>
        </is>
      </c>
      <c r="E85" s="26" t="inlineStr">
        <is>
          <t>Hebebühne und Arbeitsgrube: Quetschen durch absinkende oder abrutschende Fahrzeuge, Absturz in die Grube.</t>
        </is>
      </c>
      <c r="F85" s="26" t="inlineStr">
        <is>
          <t>Faktor: Gestaltung, Auswahl und Einsatz von Arbeitsmitteln (Arbeitsstoffe, Maschinen, Geräte, Anlagen) und der Umgang damit Risiko (vorbelegt): hoch Maßnahmen: Fahrzeuge nur an den vom Hersteller vorgesehenen Aufnahmepunkten anheben; Hebebühne nur durch unterwiesene Beschäftigte bedienen. Hebebühne mindestens jährlich durch eine befähigte Person prüfen lassen (§ 14 BetrSichV, DGUV Grundsatz 308-002). Arbeitsgrube bei Nichtbenutzung abdecken bzw. absichern; Grubenrand kennzeichnen.</t>
        </is>
      </c>
      <c r="G85" s="26" t="n"/>
      <c r="H85" s="26" t="inlineStr">
        <is>
          <t>§ 14 BetrSichV; DGUV Grundsatz 308-002 – fachlich zu prüfen</t>
        </is>
      </c>
      <c r="I85" s="26" t="inlineStr">
        <is>
          <t>fachlich zu prüfen</t>
        </is>
      </c>
      <c r="J85" s="26" t="inlineStr">
        <is>
          <t>frei</t>
        </is>
      </c>
      <c r="K85" s="26" t="inlineStr">
        <is>
          <t>Quelle ergänzen.</t>
        </is>
      </c>
      <c r="L85" s="26" t="inlineStr">
        <is>
          <t>DGUV Regel 109-009 (Fahrzeug-Instandhaltung); DGUV Regel 100-500 Kap. 2.10; DGUV Grundsatz 308-002</t>
        </is>
      </c>
      <c r="M85" s="26" t="inlineStr">
        <is>
          <t>Jährliche Prüfung Hebebühne fachlich üblich.</t>
        </is>
      </c>
      <c r="N85" s="26" t="inlineStr">
        <is>
          <t>plausibel</t>
        </is>
      </c>
      <c r="O85" s="27" t="inlineStr">
        <is>
          <t>umgesetzt</t>
        </is>
      </c>
      <c r="P85" s="27" t="inlineStr">
        <is>
          <t>Inhalt unverändert; Fundstelle der Durchsicht übernommen; Vermerk „Nutzertest“/„fachlich zu prüfen“ entfernt. Hinweis „Quelle ergänzen.“ berücksichtigt.</t>
        </is>
      </c>
    </row>
    <row r="86" ht="43.25" customHeight="1" s="17">
      <c r="A86" s="26" t="inlineStr">
        <is>
          <t>B-085</t>
        </is>
      </c>
      <c r="B86" s="26" t="inlineStr">
        <is>
          <t>Kfz-Werkstatt</t>
        </is>
      </c>
      <c r="C86" s="26" t="inlineStr">
        <is>
          <t>Gefährdungsbeurteilung</t>
        </is>
      </c>
      <c r="D86" s="26" t="inlineStr">
        <is>
          <t>Gefährdungen</t>
        </is>
      </c>
      <c r="E86" s="26" t="inlineStr">
        <is>
          <t>Abgase von Dieselmotoren beim Motorlauf in der Halle.</t>
        </is>
      </c>
      <c r="F86" s="26" t="inlineStr">
        <is>
          <t>Faktor: Physikalische, chemische und biologische Einwirkungen Maßnahmen: Motoren in der Halle nur mit Abgasabsaugung am Auspuff laufen lassen; Motorlaufzeiten kurz halten. Halle ausreichend lüften; Gefährdung nach TRGS 554 beurteilen.</t>
        </is>
      </c>
      <c r="G86" s="26" t="n"/>
      <c r="H86" s="26" t="inlineStr">
        <is>
          <t>TRGS 554</t>
        </is>
      </c>
      <c r="I86" s="26" t="inlineStr">
        <is>
          <t>Quelle genannt</t>
        </is>
      </c>
      <c r="J86" s="26" t="inlineStr">
        <is>
          <t>ändern</t>
        </is>
      </c>
      <c r="K86" s="26" t="inlineStr">
        <is>
          <t>Ergänzen: DME-Exposition = krebserzeugende Tätigkeit → Expositionsverzeichnis.</t>
        </is>
      </c>
      <c r="L86" s="26" t="inlineStr">
        <is>
          <t>TRGS 554; § 10a GefStoffV n. F.</t>
        </is>
      </c>
      <c r="M86" s="26" t="n"/>
      <c r="N86" s="26" t="inlineStr">
        <is>
          <t>plausibel</t>
        </is>
      </c>
      <c r="O86" s="27" t="inlineStr">
        <is>
          <t>umgesetzt</t>
        </is>
      </c>
      <c r="P86" s="27" t="inlineStr">
        <is>
          <t>Satz zu Dieselmotoremissionen und Expositionsverzeichnis ergänzt.</t>
        </is>
      </c>
    </row>
    <row r="87" ht="95.5" customHeight="1" s="17">
      <c r="A87" s="26" t="inlineStr">
        <is>
          <t>B-086</t>
        </is>
      </c>
      <c r="B87" s="26" t="inlineStr">
        <is>
          <t>Kfz-Werkstatt</t>
        </is>
      </c>
      <c r="C87" s="26" t="inlineStr">
        <is>
          <t>Gefährdungsbeurteilung</t>
        </is>
      </c>
      <c r="D87" s="26" t="inlineStr">
        <is>
          <t>Gefährdungen</t>
        </is>
      </c>
      <c r="E87" s="26" t="inlineStr">
        <is>
          <t>Hochvolt-Fahrzeuge (Elektro- und Hybridantrieb): elektrischer Schlag und Störlichtbogen.</t>
        </is>
      </c>
      <c r="F87" s="26" t="inlineStr">
        <is>
          <t>Faktor: Gestaltung, Auswahl und Einsatz von Arbeitsmitteln (Arbeitsstoffe, Maschinen, Geräte, Anlagen) und der Umgang damit Risiko (vorbelegt): hoch Maßnahmen: Arbeiten am Hochvolt-System nur durch dafür qualifizierte Beschäftigte (Qualifizierungsstufen nach DGUV Information 209-093). Spannungsfreiheit nach Herstellervorgabe herstellen, sichern und feststellen; Fahrzeug kennzeichnen und Arbeitsbereich absperren. Isolierte Werkzeuge und geeignete Schutzausrüstung bereitstellen und prüfen.</t>
        </is>
      </c>
      <c r="G87" s="26" t="n"/>
      <c r="H87" s="26" t="inlineStr">
        <is>
          <t>DGUV Information 209-093</t>
        </is>
      </c>
      <c r="I87" s="26" t="inlineStr">
        <is>
          <t>Quelle genannt</t>
        </is>
      </c>
      <c r="J87" s="26" t="inlineStr">
        <is>
          <t>frei</t>
        </is>
      </c>
      <c r="K87" s="26" t="n"/>
      <c r="L87" s="26" t="inlineStr">
        <is>
          <t>DGUV Information 209-093</t>
        </is>
      </c>
      <c r="M87" s="26" t="n"/>
      <c r="N87" s="26" t="inlineStr">
        <is>
          <t>plausibel</t>
        </is>
      </c>
      <c r="O87" s="27" t="inlineStr">
        <is>
          <t>umgesetzt</t>
        </is>
      </c>
      <c r="P87" s="27" t="inlineStr">
        <is>
          <t>Inhalt unverändert; Fundstelle der Durchsicht übernommen.</t>
        </is>
      </c>
    </row>
    <row r="88" ht="74.59999999999999" customHeight="1" s="17">
      <c r="A88" s="26" t="inlineStr">
        <is>
          <t>B-087</t>
        </is>
      </c>
      <c r="B88" s="26" t="inlineStr">
        <is>
          <t>Kfz-Werkstatt</t>
        </is>
      </c>
      <c r="C88" s="26" t="inlineStr">
        <is>
          <t>Gefährdungsbeurteilung</t>
        </is>
      </c>
      <c r="D88" s="26" t="inlineStr">
        <is>
          <t>Gefährdungen</t>
        </is>
      </c>
      <c r="E88" s="26" t="inlineStr">
        <is>
          <t>Reifenmontage und -befüllung: Platzen des Reifens, Quetschen an der Montiermaschine, schwere Räder.</t>
        </is>
      </c>
      <c r="F88" s="26" t="inlineStr">
        <is>
          <t>Faktor: Gestaltung, Auswahl und Einsatz von Arbeitsmitteln (Arbeitsstoffe, Maschinen, Geräte, Anlagen) und der Umgang damit Maßnahmen: Reifen nur mit Füllgerät mit Druckbegrenzung befüllen, große Reifen im Füllkäfig. Montiermaschine nur unterwiesen bedienen; nicht in den Bereich von Montierkopf und Felge greifen. Radheber bzw. Hebehilfen für schwere Räder bereitstellen.</t>
        </is>
      </c>
      <c r="G88" s="26" t="n"/>
      <c r="H88" s="26" t="inlineStr">
        <is>
          <t>Nutzertest Kfz-Werkstatt – fachlich zu prüfen</t>
        </is>
      </c>
      <c r="I88" s="26" t="inlineStr">
        <is>
          <t>fachlich zu prüfen; Quelle: Nutzertest, keine Fachquelle</t>
        </is>
      </c>
      <c r="J88" s="26" t="inlineStr">
        <is>
          <t>frei</t>
        </is>
      </c>
      <c r="K88" s="26" t="inlineStr">
        <is>
          <t>Fachquelle einsetzen.</t>
        </is>
      </c>
      <c r="L88" s="26" t="inlineStr">
        <is>
          <t>DGUV Regel 109-009</t>
        </is>
      </c>
      <c r="M88" s="26" t="n"/>
      <c r="N88" s="26" t="inlineStr">
        <is>
          <t>offen</t>
        </is>
      </c>
      <c r="O88" s="27" t="inlineStr">
        <is>
          <t>umgesetzt</t>
        </is>
      </c>
      <c r="P88" s="27" t="inlineStr">
        <is>
          <t>Inhalt unverändert; Fundstelle der Durchsicht übernommen; Vermerk „fachlich zu prüfen“ bleibt (Prüfstand offen). Hinweis „Fachquelle einsetzen.“ berücksichtigt.</t>
        </is>
      </c>
    </row>
    <row r="89" ht="64.15000000000001" customHeight="1" s="17">
      <c r="A89" s="26" t="inlineStr">
        <is>
          <t>B-088</t>
        </is>
      </c>
      <c r="B89" s="26" t="inlineStr">
        <is>
          <t>Kfz-Werkstatt</t>
        </is>
      </c>
      <c r="C89" s="26" t="inlineStr">
        <is>
          <t>Gefährdungsbeurteilung</t>
        </is>
      </c>
      <c r="D89" s="26" t="inlineStr">
        <is>
          <t>Gefährdungen</t>
        </is>
      </c>
      <c r="E89" s="26" t="inlineStr">
        <is>
          <t>Bremsenreiniger und Lösemittel: Dämpfe, Hautschäden, Brandgefahr.</t>
        </is>
      </c>
      <c r="F89" s="26" t="inlineStr">
        <is>
          <t>Faktor: Physikalische, chemische und biologische Einwirkungen Maßnahmen: Ersatz prüfen (z. B. wässrige Reiniger, Bremsenwaschgerät statt Sprühdose). Für ausreichende Lüftung sorgen; Zündquellen fernhalten. Im Gefahrstoffverzeichnis führen, Betriebsanweisung und geeignete Schutzhandschuhe bereitstellen.</t>
        </is>
      </c>
      <c r="G89" s="26" t="n"/>
      <c r="H89" s="26" t="inlineStr">
        <is>
          <t>GefStoffV – fachlich zu prüfen</t>
        </is>
      </c>
      <c r="I89" s="26" t="inlineStr">
        <is>
          <t>fachlich zu prüfen</t>
        </is>
      </c>
      <c r="J89" s="26" t="inlineStr">
        <is>
          <t>frei</t>
        </is>
      </c>
      <c r="K89" s="26" t="n"/>
      <c r="L89" s="26" t="inlineStr">
        <is>
          <t>DGUV Regel 109-009; GefStoffV § 7; TRGS 510</t>
        </is>
      </c>
      <c r="M89" s="26" t="n"/>
      <c r="N89" s="26" t="inlineStr">
        <is>
          <t>plausibel</t>
        </is>
      </c>
      <c r="O89" s="27" t="inlineStr">
        <is>
          <t>umgesetzt</t>
        </is>
      </c>
      <c r="P89" s="27" t="inlineStr">
        <is>
          <t>Inhalt unverändert; Fundstelle der Durchsicht übernommen; Vermerk „Nutzertest“/„fachlich zu prüfen“ entfernt.</t>
        </is>
      </c>
    </row>
    <row r="90" ht="64.15000000000001" customHeight="1" s="17">
      <c r="A90" s="26" t="inlineStr">
        <is>
          <t>B-089</t>
        </is>
      </c>
      <c r="B90" s="26" t="inlineStr">
        <is>
          <t>Kfz-Werkstatt</t>
        </is>
      </c>
      <c r="C90" s="26" t="inlineStr">
        <is>
          <t>Gefährdungsbeurteilung</t>
        </is>
      </c>
      <c r="D90" s="26" t="inlineStr">
        <is>
          <t>Gefährdungen</t>
        </is>
      </c>
      <c r="E90" s="26" t="inlineStr">
        <is>
          <t>Kältemittel beim Klimaanlagen-Service: Erfrierungen, Erstickungsgefahr in Gruben und tiefliegenden Bereichen.</t>
        </is>
      </c>
      <c r="F90" s="26" t="inlineStr">
        <is>
          <t>Faktor: Physikalische, chemische und biologische Einwirkungen Maßnahmen: Klimaservice nur durch Beschäftigte mit Sachkunde; Kältemittel nur mit Absaug- und Recyclinggerät handhaben. Nicht in Arbeitsgruben oder tiefliegenden Bereichen ablassen (Kältemittel sind schwerer als Luft). Schutzbrille und Kälteschutzhandschuhe tragen.</t>
        </is>
      </c>
      <c r="G90" s="26" t="n"/>
      <c r="H90" s="26" t="inlineStr">
        <is>
          <t>Nutzertest Kfz-Werkstatt – fachlich zu prüfen</t>
        </is>
      </c>
      <c r="I90" s="26" t="inlineStr">
        <is>
          <t>fachlich zu prüfen; Quelle: Nutzertest, keine Fachquelle</t>
        </is>
      </c>
      <c r="J90" s="26" t="inlineStr">
        <is>
          <t>ändern</t>
        </is>
      </c>
      <c r="K90" s="26" t="inlineStr">
        <is>
          <t>Ergänzen: „R1234yf ist entzündbar – Zündquellen fernhalten“; Sachkunde nach ChemKlimaschutzV / F-Gase-VO.</t>
        </is>
      </c>
      <c r="L90" s="26" t="inlineStr">
        <is>
          <t>DGUV Regel 109-009; ChemKlimaschutzV</t>
        </is>
      </c>
      <c r="M90" s="26" t="inlineStr">
        <is>
          <t>Brandgefahr neuer Kältemittel fehlt.</t>
        </is>
      </c>
      <c r="N90" s="26" t="inlineStr">
        <is>
          <t>offen</t>
        </is>
      </c>
      <c r="O90" s="27" t="inlineStr">
        <is>
          <t>umgesetzt</t>
        </is>
      </c>
      <c r="P90" s="27" t="inlineStr">
        <is>
          <t>Korrektur übernommen, Fundstelle ersetzt. Prüfstand offen – „fachlich zu prüfen“ bleibt.</t>
        </is>
      </c>
    </row>
    <row r="91" ht="43.25" customHeight="1" s="17">
      <c r="A91" s="26" t="inlineStr">
        <is>
          <t>B-090</t>
        </is>
      </c>
      <c r="B91" s="26" t="inlineStr">
        <is>
          <t>Kfz-Werkstatt</t>
        </is>
      </c>
      <c r="C91" s="26" t="inlineStr">
        <is>
          <t>Gefährdungsbeurteilung</t>
        </is>
      </c>
      <c r="D91" s="26" t="inlineStr">
        <is>
          <t>Gefährdungen</t>
        </is>
      </c>
      <c r="E91" s="26" t="inlineStr">
        <is>
          <t>Batteriesäure und Knallgas beim Laden von Starterbatterien.</t>
        </is>
      </c>
      <c r="F91" s="26" t="inlineStr">
        <is>
          <t>Faktor: Physikalische, chemische und biologische Einwirkungen Maßnahmen: Batterien nur in gut gelüfteten Bereichen laden; Funken, offenes Feuer und Rauchen fernhalten. Schutzbrille und säurefeste Handschuhe tragen; Augenspüleinrichtung bereithalten.</t>
        </is>
      </c>
      <c r="G91" s="26" t="n"/>
      <c r="H91" s="26" t="inlineStr">
        <is>
          <t>Nutzertest Kfz-Werkstatt – fachlich zu prüfen</t>
        </is>
      </c>
      <c r="I91" s="26" t="inlineStr">
        <is>
          <t>fachlich zu prüfen; Quelle: Nutzertest, keine Fachquelle</t>
        </is>
      </c>
      <c r="J91" s="26" t="inlineStr">
        <is>
          <t>frei</t>
        </is>
      </c>
      <c r="K91" s="26" t="n"/>
      <c r="L91" s="26" t="inlineStr">
        <is>
          <t>DGUV Regel 109-009</t>
        </is>
      </c>
      <c r="M91" s="26" t="n"/>
      <c r="N91" s="26" t="inlineStr">
        <is>
          <t>offen</t>
        </is>
      </c>
      <c r="O91" s="27" t="inlineStr">
        <is>
          <t>umgesetzt</t>
        </is>
      </c>
      <c r="P91" s="27" t="inlineStr">
        <is>
          <t>Inhalt unverändert; Fundstelle der Durchsicht übernommen; Vermerk „fachlich zu prüfen“ bleibt (Prüfstand offen).</t>
        </is>
      </c>
    </row>
    <row r="92" ht="64.15000000000001" customHeight="1" s="17">
      <c r="A92" s="26" t="inlineStr">
        <is>
          <t>B-091</t>
        </is>
      </c>
      <c r="B92" s="26" t="inlineStr">
        <is>
          <t>Kfz-Werkstatt</t>
        </is>
      </c>
      <c r="C92" s="26" t="inlineStr">
        <is>
          <t>Gefährdungsbeurteilung</t>
        </is>
      </c>
      <c r="D92" s="26" t="inlineStr">
        <is>
          <t>Gefährdungen</t>
        </is>
      </c>
      <c r="E92" s="26" t="inlineStr">
        <is>
          <t>Druckluft: Verletzungen durch Abblasen, peitschende Schläuche, Lärm.</t>
        </is>
      </c>
      <c r="F92" s="26" t="inlineStr">
        <is>
          <t>Faktor: Gestaltung, Auswahl und Einsatz von Arbeitsmitteln (Arbeitsstoffe, Maschinen, Geräte, Anlagen) und der Umgang damit Maßnahmen: Druckluft nie auf Personen richten; Kleidung und Haut nicht abblasen. Schläuche und Kupplungen regelmäßig kontrollieren und sichern. Kompressor und Druckbehälter nach BetrSichV prüfen lassen.</t>
        </is>
      </c>
      <c r="G92" s="26" t="n"/>
      <c r="H92" s="26" t="inlineStr">
        <is>
          <t>BetrSichV – fachlich zu prüfen</t>
        </is>
      </c>
      <c r="I92" s="26" t="inlineStr">
        <is>
          <t>fachlich zu prüfen</t>
        </is>
      </c>
      <c r="J92" s="26" t="inlineStr">
        <is>
          <t>frei</t>
        </is>
      </c>
      <c r="K92" s="26" t="n"/>
      <c r="L92" s="26" t="inlineStr">
        <is>
          <t>DGUV Regel 109-009; BetrSichV Anh. 2 Abschn. 4</t>
        </is>
      </c>
      <c r="M92" s="26" t="n"/>
      <c r="N92" s="26" t="inlineStr">
        <is>
          <t>plausibel</t>
        </is>
      </c>
      <c r="O92" s="27" t="inlineStr">
        <is>
          <t>umgesetzt</t>
        </is>
      </c>
      <c r="P92" s="27" t="inlineStr">
        <is>
          <t>Inhalt unverändert; Fundstelle der Durchsicht übernommen; Vermerk „Nutzertest“/„fachlich zu prüfen“ entfernt.</t>
        </is>
      </c>
    </row>
    <row r="93" ht="74.59999999999999" customHeight="1" s="17">
      <c r="A93" s="26" t="inlineStr">
        <is>
          <t>B-092</t>
        </is>
      </c>
      <c r="B93" s="26" t="inlineStr">
        <is>
          <t>Bäckerei</t>
        </is>
      </c>
      <c r="C93" s="26" t="inlineStr">
        <is>
          <t>Gefährdungsbeurteilung</t>
        </is>
      </c>
      <c r="D93" s="26" t="inlineStr">
        <is>
          <t>Gefährdungen</t>
        </is>
      </c>
      <c r="E93" s="26" t="inlineStr">
        <is>
          <t>Mehlstaub: Atemwegs- und Hauterkrankungen (Bäckerasthma).</t>
        </is>
      </c>
      <c r="F93" s="26" t="inlineStr">
        <is>
          <t>Faktor: Physikalische, chemische und biologische Einwirkungen Risiko (vorbelegt): hoch Maßnahmen: Staubarm arbeiten: Mehl nicht werfen oder abblasen, langsam einschütten, Knetmaschinen abdecken bzw. absaugen; staubarme Mehle und Trennmittel verwenden. Feucht reinigen oder saugen statt kehren. Arbeitsmedizinische Vorsorge bei Mehlstaub anbieten bzw. veranlassen (ArbMedVV Anhang Teil 1).</t>
        </is>
      </c>
      <c r="G93" s="26" t="n"/>
      <c r="H93" s="26" t="inlineStr">
        <is>
          <t>ArbMedVV Anhang Teil 1; BGN – fachlich zu prüfen</t>
        </is>
      </c>
      <c r="I93" s="26" t="inlineStr">
        <is>
          <t>fachlich zu prüfen</t>
        </is>
      </c>
      <c r="J93" s="26" t="inlineStr">
        <is>
          <t>ändern</t>
        </is>
      </c>
      <c r="K93" s="26" t="inlineStr">
        <is>
          <t>Vorsorge konkret: „Pflichtvorsorge bei Mehlstaub &gt; 4 mg/m³, Angebotsvorsorge bei Einhaltung (ArbMedVV Anhang Teil 1 Abs. 1 Nr. 2j / Abs. 2 Nr. 2j).“ Quelle BGN-Branchenwissen Backbetriebe ergänzen.</t>
        </is>
      </c>
      <c r="L93" s="26" t="inlineStr">
        <is>
          <t>ArbMedVV Anhang Teil 1 Abs. 1 Nr. 2 Buchst. j, Abs. 2 Nr. 2 Buchst. j; BGN</t>
        </is>
      </c>
      <c r="M93" s="26" t="inlineStr">
        <is>
          <t>Grenzwert 4 mg/m³ an der Verordnung bestätigt (K-001 erledigt).</t>
        </is>
      </c>
      <c r="N93" s="26" t="inlineStr">
        <is>
          <t>bestätigt</t>
        </is>
      </c>
      <c r="O93" s="27" t="inlineStr">
        <is>
          <t>umgesetzt</t>
        </is>
      </c>
      <c r="P93" s="27" t="inlineStr">
        <is>
          <t>Korrektur übernommen, Fundstelle ersetzt.</t>
        </is>
      </c>
    </row>
    <row r="94" ht="74.59999999999999" customHeight="1" s="17">
      <c r="A94" s="26" t="inlineStr">
        <is>
          <t>B-093</t>
        </is>
      </c>
      <c r="B94" s="26" t="inlineStr">
        <is>
          <t>Bäckerei</t>
        </is>
      </c>
      <c r="C94" s="26" t="inlineStr">
        <is>
          <t>Gefährdungsbeurteilung</t>
        </is>
      </c>
      <c r="D94" s="26" t="inlineStr">
        <is>
          <t>Gefährdungen</t>
        </is>
      </c>
      <c r="E94" s="26" t="inlineStr">
        <is>
          <t>Teig- und Knetmaschinen, Ausrollmaschinen: Einzug und Quetschen.</t>
        </is>
      </c>
      <c r="F94" s="26" t="inlineStr">
        <is>
          <t>Faktor: Gestaltung, Auswahl und Einsatz von Arbeitsmitteln (Arbeitsstoffe, Maschinen, Geräte, Anlagen) und der Umgang damit Risiko (vorbelegt): hoch Maßnahmen: Schutzgitter und Verriegelungen nicht überbrücken; nicht in laufende Maschinen greifen. Reinigen nur bei stillstehender und gegen Wiedereinschalten gesicherter Maschine. Maschinen und Schutzeinrichtungen regelmäßig prüfen (§ 14 BetrSichV).</t>
        </is>
      </c>
      <c r="G94" s="26" t="n"/>
      <c r="H94" s="26" t="inlineStr">
        <is>
          <t>§ 14 BetrSichV – fachlich zu prüfen</t>
        </is>
      </c>
      <c r="I94" s="26" t="inlineStr">
        <is>
          <t>fachlich zu prüfen</t>
        </is>
      </c>
      <c r="J94" s="26" t="inlineStr">
        <is>
          <t>frei</t>
        </is>
      </c>
      <c r="K94" s="26" t="inlineStr">
        <is>
          <t>Quelle ergänzen: BGN Branchenwissen Backbetriebe; § 12 BetrSichV (Betriebsanweisung Maschine).</t>
        </is>
      </c>
      <c r="L94" s="26" t="inlineStr">
        <is>
          <t>§§ 12, 14 BetrSichV; BGN</t>
        </is>
      </c>
      <c r="M94" s="26" t="n"/>
      <c r="N94" s="26" t="inlineStr">
        <is>
          <t>plausibel</t>
        </is>
      </c>
      <c r="O94" s="27" t="inlineStr">
        <is>
          <t>umgesetzt</t>
        </is>
      </c>
      <c r="P94" s="27" t="inlineStr">
        <is>
          <t>Inhalt unverändert; Fundstelle der Durchsicht übernommen; Vermerk „Nutzertest“/„fachlich zu prüfen“ entfernt. Hinweis „Quelle ergänzen: BGN Branchenwissen Backbetriebe; § 12 BetrSichV (Betriebsanweisung Maschine).“ berücksichtigt.</t>
        </is>
      </c>
    </row>
    <row r="95" ht="64.15000000000001" customHeight="1" s="17">
      <c r="A95" s="26" t="inlineStr">
        <is>
          <t>B-094</t>
        </is>
      </c>
      <c r="B95" s="26" t="inlineStr">
        <is>
          <t>Bäckerei</t>
        </is>
      </c>
      <c r="C95" s="26" t="inlineStr">
        <is>
          <t>Gefährdungsbeurteilung</t>
        </is>
      </c>
      <c r="D95" s="26" t="inlineStr">
        <is>
          <t>Gefährdungen</t>
        </is>
      </c>
      <c r="E95" s="26" t="inlineStr">
        <is>
          <t>Öfen, Stikkenöfen und Gärräume: Verbrennungen, heißer Dampf, Einschließen, kippende Stikkenwagen.</t>
        </is>
      </c>
      <c r="F95" s="26" t="inlineStr">
        <is>
          <t>Faktor: Gestaltung, Auswahl und Einsatz von Arbeitsmitteln (Arbeitsstoffe, Maschinen, Geräte, Anlagen) und der Umgang damit Maßnahmen: Hitzeschutzhandschuhe bereitstellen; Ofentüren vorsichtig öffnen (Dampf). Notöffnung von Gär- und Kühlräumen von innen regelmäßig prüfen. Stikkenwagen nicht überladen, Bremsen und Rollen prüfen.</t>
        </is>
      </c>
      <c r="G95" s="26" t="n"/>
      <c r="H95" s="26" t="inlineStr">
        <is>
          <t>Nutzertest Bäckerei – fachlich zu prüfen</t>
        </is>
      </c>
      <c r="I95" s="26" t="inlineStr">
        <is>
          <t>fachlich zu prüfen; Quelle: Nutzertest, keine Fachquelle</t>
        </is>
      </c>
      <c r="J95" s="26" t="inlineStr">
        <is>
          <t>frei</t>
        </is>
      </c>
      <c r="K95" s="26" t="inlineStr">
        <is>
          <t>Fachquelle statt Nutzertest einsetzen.</t>
        </is>
      </c>
      <c r="L95" s="26" t="inlineStr">
        <is>
          <t>BGN Branchenwissen Backbetriebe (Öfen, Gärräume)</t>
        </is>
      </c>
      <c r="M95" s="26" t="inlineStr">
        <is>
          <t>Inhalt fachlich plausibel.</t>
        </is>
      </c>
      <c r="N95" s="26" t="inlineStr">
        <is>
          <t>offen</t>
        </is>
      </c>
      <c r="O95" s="27" t="inlineStr">
        <is>
          <t>umgesetzt</t>
        </is>
      </c>
      <c r="P95" s="27" t="inlineStr">
        <is>
          <t>Inhalt unverändert; Fundstelle der Durchsicht übernommen; Vermerk „fachlich zu prüfen“ bleibt (Prüfstand offen). Hinweis „Fachquelle statt Nutzertest einsetzen.“ berücksichtigt.</t>
        </is>
      </c>
    </row>
    <row r="96" ht="95.5" customHeight="1" s="17">
      <c r="A96" s="26" t="inlineStr">
        <is>
          <t>B-095</t>
        </is>
      </c>
      <c r="B96" s="26" t="inlineStr">
        <is>
          <t>Bäckerei</t>
        </is>
      </c>
      <c r="C96" s="26" t="inlineStr">
        <is>
          <t>Gefährdungsbeurteilung</t>
        </is>
      </c>
      <c r="D96" s="26" t="inlineStr">
        <is>
          <t>Gefährdungen</t>
        </is>
      </c>
      <c r="E96" s="26" t="inlineStr">
        <is>
          <t>Nachtarbeit und frühe Arbeitszeiten: Belastung der Gesundheit, Müdigkeit, Unfälle auf dem Arbeitsweg.</t>
        </is>
      </c>
      <c r="F96" s="26" t="inlineStr">
        <is>
          <t>Faktor: Gestaltung von Arbeits- und Fertigungsverfahren, Arbeitsabläufen und Arbeitszeit und deren Zusammenwirken Maßnahmen: Nachtarbeitnehmer vor Beginn und danach regelmäßig arbeitsmedizinisch untersuchen lassen, Kosten trägt der Betrieb (§ 6 Abs. 3 ArbZG); Ausgleich nach § 6 Abs. 5 ArbZG. Schichtpläne nach gesicherten arbeitswissenschaftlichen Erkenntnissen gestalten. Jugendliche: in Bäckereien nur in den Grenzen des § 14 JArbSchG (z. B. über 16 Jahre ab 5 Uhr, über 17 Jahre ab 4 Uhr).</t>
        </is>
      </c>
      <c r="G96" s="26" t="inlineStr">
        <is>
          <t>über 16 Jahre; über 17 Jahre</t>
        </is>
      </c>
      <c r="H96" s="26" t="inlineStr">
        <is>
          <t>§ 6 ArbZG; § 14 JArbSchG – fachlich zu prüfen</t>
        </is>
      </c>
      <c r="I96" s="26" t="inlineStr">
        <is>
          <t>fachlich zu prüfen</t>
        </is>
      </c>
      <c r="J96" s="26" t="inlineStr">
        <is>
          <t>ändern</t>
        </is>
      </c>
      <c r="K96" s="26" t="inlineStr">
        <is>
          <t>Ergänzen: Untersuchung „vor Beginn und danach alle 3 Jahre, ab 50 Jahren jährlich“; Nachtzeit in Bäckereien 22–5 Uhr (§ 2 Abs. 3 ArbZG).</t>
        </is>
      </c>
      <c r="L96" s="26" t="inlineStr">
        <is>
          <t>§§ 2, 6 Abs. 3, 5 ArbZG; § 14 Abs. 2 Nr. 4, Abs. 3 JArbSchG</t>
        </is>
      </c>
      <c r="M96" s="26" t="inlineStr">
        <is>
          <t>Fristen fehlen; JArbSchG-Werte korrekt.</t>
        </is>
      </c>
      <c r="N96" s="26" t="inlineStr">
        <is>
          <t>plausibel</t>
        </is>
      </c>
      <c r="O96" s="27" t="inlineStr">
        <is>
          <t>umgesetzt</t>
        </is>
      </c>
      <c r="P96" s="27" t="inlineStr">
        <is>
          <t>Korrektur übernommen, Fundstelle ersetzt.</t>
        </is>
      </c>
    </row>
    <row r="97" ht="85.05" customHeight="1" s="17">
      <c r="A97" s="26" t="inlineStr">
        <is>
          <t>B-096</t>
        </is>
      </c>
      <c r="B97" s="26" t="inlineStr">
        <is>
          <t>Transport / Kurier</t>
        </is>
      </c>
      <c r="C97" s="26" t="inlineStr">
        <is>
          <t>Gefährdungsbeurteilung</t>
        </is>
      </c>
      <c r="D97" s="26" t="inlineStr">
        <is>
          <t>Gefährdungen</t>
        </is>
      </c>
      <c r="E97" s="26" t="inlineStr">
        <is>
          <t>Straßenverkehr: Unfälle bei der Auslieferung.</t>
        </is>
      </c>
      <c r="F97" s="26" t="inlineStr">
        <is>
          <t>Faktor: Gestaltung, Auswahl und Einsatz von Arbeitsmitteln (Arbeitsstoffe, Maschinen, Geräte, Anlagen) und der Umgang damit Risiko (vorbelegt): hoch Maßnahmen: Fahrzeuge mindestens jährlich durch eine sachkundige Person prüfen lassen (§ 57 DGUV Vorschrift 70); vor Fahrtbeginn Abfahrtkontrolle. Nur geeignete, unterwiesene Fahrerinnen und Fahrer einsetzen (§ 35 DGUV Vorschrift 70); Führerscheine regelmäßig kontrollieren. Nicht telefonieren oder Scanner bedienen während der Fahrt.</t>
        </is>
      </c>
      <c r="G97" s="26" t="n"/>
      <c r="H97" s="26" t="inlineStr">
        <is>
          <t>§§ 35, 57 DGUV Vorschrift 70</t>
        </is>
      </c>
      <c r="I97" s="26" t="inlineStr">
        <is>
          <t>Quelle genannt</t>
        </is>
      </c>
      <c r="J97" s="26" t="inlineStr">
        <is>
          <t>frei</t>
        </is>
      </c>
      <c r="K97" s="26" t="n"/>
      <c r="L97" s="26" t="inlineStr">
        <is>
          <t>§§ 35, 36, 57 DGUV Vorschrift 70</t>
        </is>
      </c>
      <c r="M97" s="26" t="n"/>
      <c r="N97" s="26" t="inlineStr">
        <is>
          <t>plausibel</t>
        </is>
      </c>
      <c r="O97" s="27" t="inlineStr">
        <is>
          <t>umgesetzt</t>
        </is>
      </c>
      <c r="P97" s="27" t="inlineStr">
        <is>
          <t>Inhalt unverändert; Fundstelle der Durchsicht übernommen.</t>
        </is>
      </c>
    </row>
    <row r="98" ht="43.25" customHeight="1" s="17">
      <c r="A98" s="26" t="inlineStr">
        <is>
          <t>B-097</t>
        </is>
      </c>
      <c r="B98" s="26" t="inlineStr">
        <is>
          <t>Transport / Kurier</t>
        </is>
      </c>
      <c r="C98" s="26" t="inlineStr">
        <is>
          <t>Gefährdungsbeurteilung</t>
        </is>
      </c>
      <c r="D98" s="26" t="inlineStr">
        <is>
          <t>Gefährdungen</t>
        </is>
      </c>
      <c r="E98" s="26" t="inlineStr">
        <is>
          <t>Zeitdruck und lange Touren: psychische Belastung, Ermüdung.</t>
        </is>
      </c>
      <c r="F98" s="26" t="inlineStr">
        <is>
          <t>Faktor: Psychische Belastungen bei der Arbeit Maßnahmen: Touren realistisch planen, Pausen einplanen (§ 4 ArbZG). Lenk- und Ruhezeiten einhalten, wo sie gelten; Rückmeldung der Fahrer zur Tourplanung einholen.</t>
        </is>
      </c>
      <c r="G98" s="26" t="n"/>
      <c r="H98" s="26" t="inlineStr">
        <is>
          <t>Nutzertest Kurier – fachlich zu prüfen</t>
        </is>
      </c>
      <c r="I98" s="26" t="inlineStr">
        <is>
          <t>fachlich zu prüfen; Quelle: Nutzertest, keine Fachquelle</t>
        </is>
      </c>
      <c r="J98" s="26" t="inlineStr">
        <is>
          <t>frei</t>
        </is>
      </c>
      <c r="K98" s="26" t="inlineStr">
        <is>
          <t>Quelle ergänzen.</t>
        </is>
      </c>
      <c r="L98" s="26" t="inlineStr">
        <is>
          <t>§§ 4, 21a ArbZG; BG Verkehr</t>
        </is>
      </c>
      <c r="M98" s="26" t="n"/>
      <c r="N98" s="26" t="inlineStr">
        <is>
          <t>plausibel</t>
        </is>
      </c>
      <c r="O98" s="27" t="inlineStr">
        <is>
          <t>umgesetzt</t>
        </is>
      </c>
      <c r="P98" s="27" t="inlineStr">
        <is>
          <t>Inhalt unverändert; Fundstelle der Durchsicht übernommen; Vermerk „Nutzertest“/„fachlich zu prüfen“ entfernt. Hinweis „Quelle ergänzen.“ berücksichtigt.</t>
        </is>
      </c>
    </row>
    <row r="99" ht="64.15000000000001" customHeight="1" s="17">
      <c r="A99" s="26" t="inlineStr">
        <is>
          <t>B-098</t>
        </is>
      </c>
      <c r="B99" s="26" t="inlineStr">
        <is>
          <t>Transport / Kurier</t>
        </is>
      </c>
      <c r="C99" s="26" t="inlineStr">
        <is>
          <t>Gefährdungsbeurteilung</t>
        </is>
      </c>
      <c r="D99" s="26" t="inlineStr">
        <is>
          <t>Gefährdungen</t>
        </is>
      </c>
      <c r="E99" s="26" t="inlineStr">
        <is>
          <t>Ladungssicherung: verrutschende oder herabfallende Ladung.</t>
        </is>
      </c>
      <c r="F99" s="26" t="inlineStr">
        <is>
          <t>Faktor: Gestaltung von Arbeits- und Fertigungsverfahren, Arbeitsabläufen und Arbeitszeit und deren Zusammenwirken Maßnahmen: Ladung so verstauen und sichern, dass sie auch bei Vollbremsung oder Ausweichbewegung nicht verrutscht (§ 22 StVO); Zurrgurte, Trennnetze und Antirutschmatten bereitstellen. Fahrer zur Ladungssicherung unterweisen.</t>
        </is>
      </c>
      <c r="G99" s="26" t="n"/>
      <c r="H99" s="26" t="inlineStr">
        <is>
          <t>§ 22 StVO; VDI 2700 – fachlich zu prüfen</t>
        </is>
      </c>
      <c r="I99" s="26" t="inlineStr">
        <is>
          <t>fachlich zu prüfen</t>
        </is>
      </c>
      <c r="J99" s="26" t="inlineStr">
        <is>
          <t>frei</t>
        </is>
      </c>
      <c r="K99" s="26" t="n"/>
      <c r="L99" s="26" t="inlineStr">
        <is>
          <t>§ 22 StVO; VDI 2700; DGUV Information 214-003 (Titel prüfen)</t>
        </is>
      </c>
      <c r="M99" s="26" t="n"/>
      <c r="N99" s="26" t="inlineStr">
        <is>
          <t>plausibel</t>
        </is>
      </c>
      <c r="O99" s="27" t="inlineStr">
        <is>
          <t>umgesetzt</t>
        </is>
      </c>
      <c r="P99" s="27" t="inlineStr">
        <is>
          <t>Inhalt unverändert; Fundstelle der Durchsicht übernommen; Vermerk „Nutzertest“/„fachlich zu prüfen“ entfernt.</t>
        </is>
      </c>
    </row>
    <row r="100" ht="64.15000000000001" customHeight="1" s="17">
      <c r="A100" s="26" t="inlineStr">
        <is>
          <t>B-099</t>
        </is>
      </c>
      <c r="B100" s="26" t="inlineStr">
        <is>
          <t>Transport / Kurier</t>
        </is>
      </c>
      <c r="C100" s="26" t="inlineStr">
        <is>
          <t>Gefährdungsbeurteilung</t>
        </is>
      </c>
      <c r="D100" s="26" t="inlineStr">
        <is>
          <t>Gefährdungen</t>
        </is>
      </c>
      <c r="E100" s="26" t="inlineStr">
        <is>
          <t>Heben und Tragen von Paketen, Treppen: Belastung von Rücken und Gelenken.</t>
        </is>
      </c>
      <c r="F100" s="26" t="inlineStr">
        <is>
          <t>Faktor: Gestaltung, Auswahl und Einsatz von Arbeitsmitteln (Arbeitsstoffe, Maschinen, Geräte, Anlagen) und der Umgang damit Maßnahmen: Sackkarre bzw. Treppensteiger bereitstellen; schwere Sendungen zu zweit tragen. Unterweisung zum rückengerechten Heben und Tragen (Lastenhandhabungsverordnung).</t>
        </is>
      </c>
      <c r="G100" s="26" t="n"/>
      <c r="H100" s="26" t="inlineStr">
        <is>
          <t>LasthandhabV – fachlich zu prüfen</t>
        </is>
      </c>
      <c r="I100" s="26" t="inlineStr">
        <is>
          <t>fachlich zu prüfen</t>
        </is>
      </c>
      <c r="J100" s="26" t="inlineStr">
        <is>
          <t>ändern</t>
        </is>
      </c>
      <c r="K100" s="26" t="inlineStr">
        <is>
          <t>Faktor auf „Arbeitsverfahren/physische Belastung“ umstellen.</t>
        </is>
      </c>
      <c r="L100" s="26" t="inlineStr">
        <is>
          <t>LasthandhabV; Leitmerkmalmethode</t>
        </is>
      </c>
      <c r="M100" s="26" t="n"/>
      <c r="N100" s="26" t="inlineStr">
        <is>
          <t>plausibel</t>
        </is>
      </c>
      <c r="O100" s="27" t="inlineStr">
        <is>
          <t>umgesetzt</t>
        </is>
      </c>
      <c r="P100" s="27" t="inlineStr">
        <is>
          <t>Faktor auf „Arbeitsverfahren“ (§ 5 Abs. 3 Nr. 4) umgestellt.</t>
        </is>
      </c>
    </row>
    <row r="101" ht="53.7" customHeight="1" s="17">
      <c r="A101" s="26" t="inlineStr">
        <is>
          <t>B-100</t>
        </is>
      </c>
      <c r="B101" s="26" t="inlineStr">
        <is>
          <t>Transport / Kurier</t>
        </is>
      </c>
      <c r="C101" s="26" t="inlineStr">
        <is>
          <t>Gefährdungsbeurteilung</t>
        </is>
      </c>
      <c r="D101" s="26" t="inlineStr">
        <is>
          <t>Gefährdungen</t>
        </is>
      </c>
      <c r="E101" s="26" t="inlineStr">
        <is>
          <t>Lastenrad: Stürze, Unfälle, Überladung.</t>
        </is>
      </c>
      <c r="F101" s="26" t="inlineStr">
        <is>
          <t>Faktor: Gestaltung, Auswahl und Einsatz von Arbeitsmitteln (Arbeitsstoffe, Maschinen, Geräte, Anlagen) und der Umgang damit Maßnahmen: Vor dem ersten Einsatz einweisen; zulässiges Gesamtgewicht und Zuladung beachten. Räder regelmäßig warten (Bremsen, Beleuchtung, Reifen); Helm bereitstellen.</t>
        </is>
      </c>
      <c r="G101" s="26" t="n"/>
      <c r="H101" s="26" t="inlineStr">
        <is>
          <t>Nutzertest Kurier – fachlich zu prüfen</t>
        </is>
      </c>
      <c r="I101" s="26" t="inlineStr">
        <is>
          <t>fachlich zu prüfen; Quelle: Nutzertest, keine Fachquelle</t>
        </is>
      </c>
      <c r="J101" s="26" t="inlineStr">
        <is>
          <t>frei</t>
        </is>
      </c>
      <c r="K101" s="26" t="inlineStr">
        <is>
          <t>Fachquelle einsetzen.</t>
        </is>
      </c>
      <c r="L101" s="26" t="inlineStr">
        <is>
          <t>BG Verkehr (Lastenräder)</t>
        </is>
      </c>
      <c r="M101" s="26" t="n"/>
      <c r="N101" s="26" t="inlineStr">
        <is>
          <t>offen</t>
        </is>
      </c>
      <c r="O101" s="27" t="inlineStr">
        <is>
          <t>umgesetzt</t>
        </is>
      </c>
      <c r="P101" s="27" t="inlineStr">
        <is>
          <t>Inhalt unverändert; Fundstelle der Durchsicht übernommen; Vermerk „fachlich zu prüfen“ bleibt (Prüfstand offen). Hinweis „Fachquelle einsetzen.“ berücksichtigt.</t>
        </is>
      </c>
    </row>
    <row r="102" ht="43.25" customHeight="1" s="17">
      <c r="A102" s="26" t="inlineStr">
        <is>
          <t>B-101</t>
        </is>
      </c>
      <c r="B102" s="26" t="inlineStr">
        <is>
          <t>Transport / Kurier</t>
        </is>
      </c>
      <c r="C102" s="26" t="inlineStr">
        <is>
          <t>Gefährdungsbeurteilung</t>
        </is>
      </c>
      <c r="D102" s="26" t="inlineStr">
        <is>
          <t>Gefährdungen</t>
        </is>
      </c>
      <c r="E102" s="26" t="inlineStr">
        <is>
          <t>Witterung: Hitze, Kälte, Nässe und Glätte auf der Tour.</t>
        </is>
      </c>
      <c r="F102" s="26" t="inlineStr">
        <is>
          <t>Faktor: Physikalische, chemische und biologische Einwirkungen Maßnahmen: Wetterschutzkleidung und bei Hitze Getränke bereitstellen; Sonnenschutz. Bei Glätte Touren anpassen; Winterausrüstung der Fahrzeuge.</t>
        </is>
      </c>
      <c r="G102" s="26" t="n"/>
      <c r="H102" s="26" t="inlineStr">
        <is>
          <t>Nutzertest Kurier – fachlich zu prüfen</t>
        </is>
      </c>
      <c r="I102" s="26" t="inlineStr">
        <is>
          <t>fachlich zu prüfen; Quelle: Nutzertest, keine Fachquelle</t>
        </is>
      </c>
      <c r="J102" s="26" t="inlineStr">
        <is>
          <t>frei</t>
        </is>
      </c>
      <c r="K102" s="26" t="inlineStr">
        <is>
          <t>UV-Angebotsvorsorge ergänzen (wie B-050).</t>
        </is>
      </c>
      <c r="L102" s="26" t="inlineStr">
        <is>
          <t>ArbMedVV Anh. Teil 3</t>
        </is>
      </c>
      <c r="M102" s="26" t="n"/>
      <c r="N102" s="26" t="inlineStr">
        <is>
          <t>offen</t>
        </is>
      </c>
      <c r="O102" s="27" t="inlineStr">
        <is>
          <t>umgesetzt</t>
        </is>
      </c>
      <c r="P102" s="27" t="inlineStr">
        <is>
          <t>Inhalt unverändert; Fundstelle der Durchsicht übernommen; Vermerk „fachlich zu prüfen“ bleibt (Prüfstand offen). Hinweis „UV-Angebotsvorsorge ergänzen (wie B-050).“ berücksichtigt.</t>
        </is>
      </c>
    </row>
    <row r="103" ht="32.8" customHeight="1" s="17">
      <c r="A103" s="26" t="inlineStr">
        <is>
          <t>B-102</t>
        </is>
      </c>
      <c r="B103" s="26" t="inlineStr">
        <is>
          <t>Transport / Kurier</t>
        </is>
      </c>
      <c r="C103" s="26" t="inlineStr">
        <is>
          <t>Gefährdungsbeurteilung</t>
        </is>
      </c>
      <c r="D103" s="26" t="inlineStr">
        <is>
          <t>Gefährdungen</t>
        </is>
      </c>
      <c r="E103" s="26" t="inlineStr">
        <is>
          <t>Hunde beim Zustellen: Bissverletzungen.</t>
        </is>
      </c>
      <c r="F103" s="26" t="inlineStr">
        <is>
          <t>Faktor: Sonstige Gefährdungen Maßnahmen: Grundstücke mit frei laufenden Hunden nicht betreten; Adressen an die Disposition melden. Verhalten gegenüber Hunden unterweisen.</t>
        </is>
      </c>
      <c r="G103" s="26" t="n"/>
      <c r="H103" s="26" t="inlineStr">
        <is>
          <t>Nutzertest Kurier – fachlich zu prüfen</t>
        </is>
      </c>
      <c r="I103" s="26" t="inlineStr">
        <is>
          <t>fachlich zu prüfen; Quelle: Nutzertest, keine Fachquelle</t>
        </is>
      </c>
      <c r="J103" s="26" t="inlineStr">
        <is>
          <t>frei</t>
        </is>
      </c>
      <c r="K103" s="26" t="n"/>
      <c r="L103" s="26" t="inlineStr">
        <is>
          <t>BG Verkehr</t>
        </is>
      </c>
      <c r="M103" s="26" t="n"/>
      <c r="N103" s="26" t="inlineStr">
        <is>
          <t>offen</t>
        </is>
      </c>
      <c r="O103" s="27" t="inlineStr">
        <is>
          <t>umgesetzt</t>
        </is>
      </c>
      <c r="P103" s="27" t="inlineStr">
        <is>
          <t>Inhalt unverändert; Fundstelle der Durchsicht übernommen; Vermerk „fachlich zu prüfen“ bleibt (Prüfstand offen).</t>
        </is>
      </c>
    </row>
    <row r="104" ht="43.25" customHeight="1" s="17">
      <c r="A104" s="26" t="inlineStr">
        <is>
          <t>B-103</t>
        </is>
      </c>
      <c r="B104" s="26" t="inlineStr">
        <is>
          <t>Transport / Kurier</t>
        </is>
      </c>
      <c r="C104" s="26" t="inlineStr">
        <is>
          <t>Gefährdungsbeurteilung</t>
        </is>
      </c>
      <c r="D104" s="26" t="inlineStr">
        <is>
          <t>Gefährdungen</t>
        </is>
      </c>
      <c r="E104" s="26" t="inlineStr">
        <is>
          <t>Überfall und Gewalt (Bargeld, Wertsendungen).</t>
        </is>
      </c>
      <c r="F104" s="26" t="inlineStr">
        <is>
          <t>Faktor: Psychische Belastungen bei der Arbeit Maßnahmen: Möglichst bargeldlos kassieren; Bargeld nicht offen mitführen. Verhalten bei Überfall unterweisen; Erreichbarkeit und Notruf regeln; Betreuung nach einem Vorfall.</t>
        </is>
      </c>
      <c r="G104" s="26" t="n"/>
      <c r="H104" s="26" t="inlineStr">
        <is>
          <t>Nutzertest Kurier – fachlich zu prüfen</t>
        </is>
      </c>
      <c r="I104" s="26" t="inlineStr">
        <is>
          <t>fachlich zu prüfen; Quelle: Nutzertest, keine Fachquelle</t>
        </is>
      </c>
      <c r="J104" s="26" t="inlineStr">
        <is>
          <t>frei</t>
        </is>
      </c>
      <c r="K104" s="26" t="n"/>
      <c r="L104" s="26" t="inlineStr">
        <is>
          <t>BG Verkehr / BGHW</t>
        </is>
      </c>
      <c r="M104" s="26" t="n"/>
      <c r="N104" s="26" t="inlineStr">
        <is>
          <t>offen</t>
        </is>
      </c>
      <c r="O104" s="27" t="inlineStr">
        <is>
          <t>umgesetzt</t>
        </is>
      </c>
      <c r="P104" s="27" t="inlineStr">
        <is>
          <t>Inhalt unverändert; Fundstelle der Durchsicht übernommen; Vermerk „fachlich zu prüfen“ bleibt (Prüfstand offen).</t>
        </is>
      </c>
    </row>
    <row r="105" ht="95.5" customHeight="1" s="17">
      <c r="A105" s="26" t="inlineStr">
        <is>
          <t>B-104</t>
        </is>
      </c>
      <c r="B105" s="26" t="inlineStr">
        <is>
          <t>Praxis / Gesundheit</t>
        </is>
      </c>
      <c r="C105" s="26" t="inlineStr">
        <is>
          <t>Gefährdungsbeurteilung</t>
        </is>
      </c>
      <c r="D105" s="26" t="inlineStr">
        <is>
          <t>Gefährdungen</t>
        </is>
      </c>
      <c r="E105" s="26" t="inlineStr">
        <is>
          <t>Biostoffe bei Untersuchung und Behandlung: Infektionen durch Blut, Körperflüssigkeiten und Ausscheidungen.</t>
        </is>
      </c>
      <c r="F105" s="26" t="inlineStr">
        <is>
          <t>Faktor: Physikalische, chemische und biologische Einwirkungen Maßnahmen: Tätigkeiten mit Biostoffen nach BioStoffV und TRBA 250 beurteilen und einer Schutzstufe zuordnen. Wirksame Desinfektionsverfahren festlegen (§ 11 Abs. 1 BioStoffV); Hygieneplan mit Händehygiene, Flächen- und Instrumentendesinfektion. Geeignete Schutzhandschuhe und Schutzkleidung bereitstellen. Arbeitsmedizinische Vorsorge nach ArbMedVV Anhang Teil 2 prüfen; Impfungen anbieten, soweit das Infektionsrisiko tätigkeitsbedingt erhöht ist (§ 6 Abs. 2 ArbMedVV).</t>
        </is>
      </c>
      <c r="G105" s="26" t="n"/>
      <c r="H105" s="26" t="inlineStr">
        <is>
          <t>BioStoffV; TRBA 250; § 6 Abs. 2 ArbMedVV – fachlich zu prüfen</t>
        </is>
      </c>
      <c r="I105" s="26" t="inlineStr">
        <is>
          <t>fachlich zu prüfen</t>
        </is>
      </c>
      <c r="J105" s="26" t="inlineStr">
        <is>
          <t>frei</t>
        </is>
      </c>
      <c r="K105" s="26" t="n"/>
      <c r="L105" s="26" t="inlineStr">
        <is>
          <t>BioStoffV; TRBA 250; ArbMedVV Anh. Teil 2 Abs. 1 Nr. 3 (u. a. HBV, HCV); § 6 Abs. 2 ArbMedVV</t>
        </is>
      </c>
      <c r="M105" s="26" t="inlineStr">
        <is>
          <t>Pflichtvorsorge-Anlässe Gesundheitsdienst nachgelesen.</t>
        </is>
      </c>
      <c r="N105" s="26" t="inlineStr">
        <is>
          <t>bestätigt</t>
        </is>
      </c>
      <c r="O105" s="27" t="inlineStr">
        <is>
          <t>umgesetzt</t>
        </is>
      </c>
      <c r="P105" s="27" t="inlineStr">
        <is>
          <t>Inhalt unverändert; Fundstelle der Durchsicht übernommen; Vermerk „Nutzertest“/„fachlich zu prüfen“ entfernt.</t>
        </is>
      </c>
    </row>
    <row r="106" ht="147.75" customHeight="1" s="17">
      <c r="A106" s="26" t="inlineStr">
        <is>
          <t>B-105</t>
        </is>
      </c>
      <c r="B106" s="26" t="inlineStr">
        <is>
          <t>Praxis / Gesundheit</t>
        </is>
      </c>
      <c r="C106" s="26" t="inlineStr">
        <is>
          <t>Gefährdungsbeurteilung</t>
        </is>
      </c>
      <c r="D106" s="26" t="inlineStr">
        <is>
          <t>Gefährdungen</t>
        </is>
      </c>
      <c r="E106" s="26" t="inlineStr">
        <is>
          <t>Stich- und Schnittverletzungen durch gebrauchte Kanülen und scharfe Instrumente (Nadelstichverletzungen).</t>
        </is>
      </c>
      <c r="F106" s="26" t="inlineStr">
        <is>
          <t>Faktor: Physikalische, chemische und biologische Einwirkungen Risiko (vorbelegt): hoch Maßnahmen: Spitze und scharfe Instrumente durch solche mit Sicherheitsmechanismus ersetzen, soweit technisch möglich und zur Vermeidung einer Infektion erforderlich (§ 11 Abs. 2 BioStoffV). Gebrauchte Kanülen nicht in die Schutzkappe zurückstecken (§ 11 Abs. 3 BioStoffV). Stich- und bruchfeste, eindeutig gekennzeichnete Abwurfbehälter möglichst nah am Verwendungsort bereitstellen; nicht umfüllen (§ 11 Abs. 4 BioStoffV; TRBA 250 Nr. 4.2.5). Vorgehen nach einer Stichverletzung festlegen und aushängen: Blutfluss fördern, desinfizieren, Durchgangsarzt bzw. Betriebsarzt aufsuchen, im Verbandbuch eintragen; Beschäftigte über Verletzungen mit organisatorischen oder technischen Ursachen informieren (§ 11 Abs. 5 BioStoffV).</t>
        </is>
      </c>
      <c r="G106" s="26" t="n"/>
      <c r="H106" s="26" t="inlineStr">
        <is>
          <t>§ 11 BioStoffV; TRBA 250 Nr. 4.2.5 – fachlich zu prüfen</t>
        </is>
      </c>
      <c r="I106" s="26" t="inlineStr">
        <is>
          <t>fachlich zu prüfen</t>
        </is>
      </c>
      <c r="J106" s="26" t="inlineStr">
        <is>
          <t>ändern</t>
        </is>
      </c>
      <c r="K106" s="26" t="inlineStr">
        <is>
          <t>Vorgehen nach Stichverletzung von Betriebsarzt nach aktueller PEP-Leitlinie bestätigen lassen (D-Arzt sofort, HIV-PEP möglichst innerhalb 2 Std.).</t>
        </is>
      </c>
      <c r="L106" s="26" t="inlineStr">
        <is>
          <t>§ 11 Abs. 2–5 BioStoffV; TRBA 250 (Nr. an aktueller Fassung prüfen); Leitlinie HIV-PEP</t>
        </is>
      </c>
      <c r="M106" s="26" t="inlineStr">
        <is>
          <t>„Blutfluss fördern“ als Erstmaßnahme an aktueller Leitlinie prüfen.</t>
        </is>
      </c>
      <c r="N106" s="26" t="inlineStr">
        <is>
          <t>offen</t>
        </is>
      </c>
      <c r="O106" s="27" t="inlineStr">
        <is>
          <t>offen</t>
        </is>
      </c>
      <c r="P106" s="27" t="inlineStr">
        <is>
          <t>Wortlaut unverändert; Vorgehen nach Stichverletzung bestätigt der Betriebsarzt (aktuelle PEP-Leitlinie) – „fachlich zu prüfen“ bleibt.</t>
        </is>
      </c>
    </row>
    <row r="107" ht="85.05" customHeight="1" s="17">
      <c r="A107" s="26" t="inlineStr">
        <is>
          <t>B-106</t>
        </is>
      </c>
      <c r="B107" s="26" t="inlineStr">
        <is>
          <t>Praxis / Gesundheit</t>
        </is>
      </c>
      <c r="C107" s="26" t="inlineStr">
        <is>
          <t>Gefährdungsbeurteilung</t>
        </is>
      </c>
      <c r="D107" s="26" t="inlineStr">
        <is>
          <t>Gefährdungen</t>
        </is>
      </c>
      <c r="E107" s="26" t="inlineStr">
        <is>
          <t>Desinfektionsmittel: Reizungen von Haut und Atemwegen, Allergien.</t>
        </is>
      </c>
      <c r="F107" s="26" t="inlineStr">
        <is>
          <t>Faktor: Physikalische, chemische und biologische Einwirkungen Maßnahmen: Desinfektionsmittel im Gefahrstoffverzeichnis führen und eine Betriebsanweisung erstellen (GefStoffV, TRGS 525). Flächen wischen statt sprühen; Lösungen mit Dosierhilfe und nicht mit heißem Wasser ansetzen; lüften. Chemikalienbeständige Schutzhandschuhe tragen (z. B. aus Nitril) – Untersuchungshandschuhe schützen nicht ausreichend vor Chemikalien.</t>
        </is>
      </c>
      <c r="G107" s="26" t="n"/>
      <c r="H107" s="26" t="inlineStr">
        <is>
          <t>BGW „Gefahrstoffe in der Arztpraxis“; TRGS 525 – fachlich zu prüfen</t>
        </is>
      </c>
      <c r="I107" s="26" t="inlineStr">
        <is>
          <t>fachlich zu prüfen</t>
        </is>
      </c>
      <c r="J107" s="26" t="inlineStr">
        <is>
          <t>ändern (Quelle)</t>
        </is>
      </c>
      <c r="K107" s="26" t="inlineStr">
        <is>
          <t>BGW-Broschüre 2004 durch aktuelle BGW-Branchenhilfe Arztpraxis ersetzen.</t>
        </is>
      </c>
      <c r="L107" s="26" t="inlineStr">
        <is>
          <t>TRGS 525; aktuelle BGW-Schrift</t>
        </is>
      </c>
      <c r="M107" s="26" t="n"/>
      <c r="N107" s="26" t="inlineStr">
        <is>
          <t>offen</t>
        </is>
      </c>
      <c r="O107" s="27" t="inlineStr">
        <is>
          <t>abweichend umgesetzt</t>
        </is>
      </c>
      <c r="P107" s="27" t="inlineStr">
        <is>
          <t>BGW-Broschüre 2004 aus der Quelle entfernt; die aktuelle BGW-Schrift ist noch nicht benannt – „fachlich zu prüfen“ bleibt.</t>
        </is>
      </c>
    </row>
    <row r="108" ht="74.59999999999999" customHeight="1" s="17">
      <c r="A108" s="26" t="inlineStr">
        <is>
          <t>B-107</t>
        </is>
      </c>
      <c r="B108" s="26" t="inlineStr">
        <is>
          <t>Praxis / Gesundheit</t>
        </is>
      </c>
      <c r="C108" s="26" t="inlineStr">
        <is>
          <t>Gefährdungsbeurteilung</t>
        </is>
      </c>
      <c r="D108" s="26" t="inlineStr">
        <is>
          <t>Gefährdungen</t>
        </is>
      </c>
      <c r="E108" s="26" t="inlineStr">
        <is>
          <t>Hautbelastung durch häufige Händedesinfektion, Händewaschen und langes Tragen von Handschuhen (Feuchtarbeit).</t>
        </is>
      </c>
      <c r="F108" s="26" t="inlineStr">
        <is>
          <t>Faktor: Physikalische, chemische und biologische Einwirkungen Maßnahmen: Feuchtarbeit nach TRGS 401 beurteilen; Hautschutzplan mit Hautschutz, Hautreinigung und Hautpflege aufstellen. Handschuhe nur so lange wie nötig tragen; bei längerem Tragen Unterziehhandschuhe aus Baumwolle. Arbeitsmedizinische Vorsorge bei Feuchtarbeit nach ArbMedVV Anhang Teil 1 anbieten bzw. veranlassen.</t>
        </is>
      </c>
      <c r="G108" s="26" t="n"/>
      <c r="H108" s="26" t="inlineStr">
        <is>
          <t>TRGS 401; ArbMedVV Anhang Teil 1 – fachlich zu prüfen</t>
        </is>
      </c>
      <c r="I108" s="26" t="inlineStr">
        <is>
          <t>fachlich zu prüfen</t>
        </is>
      </c>
      <c r="J108" s="26" t="inlineStr">
        <is>
          <t>frei</t>
        </is>
      </c>
      <c r="K108" s="26" t="n"/>
      <c r="L108" s="26" t="inlineStr">
        <is>
          <t>TRGS 401; ArbMedVV Anh. Teil 1</t>
        </is>
      </c>
      <c r="M108" s="26" t="n"/>
      <c r="N108" s="26" t="inlineStr">
        <is>
          <t>bestätigt</t>
        </is>
      </c>
      <c r="O108" s="27" t="inlineStr">
        <is>
          <t>umgesetzt</t>
        </is>
      </c>
      <c r="P108" s="27" t="inlineStr">
        <is>
          <t>Inhalt unverändert; Fundstelle der Durchsicht übernommen; Vermerk „Nutzertest“/„fachlich zu prüfen“ entfernt.</t>
        </is>
      </c>
    </row>
    <row r="109" ht="64.15000000000001" customHeight="1" s="17">
      <c r="A109" s="26" t="inlineStr">
        <is>
          <t>B-108</t>
        </is>
      </c>
      <c r="B109" s="26" t="inlineStr">
        <is>
          <t>Praxis / Gesundheit</t>
        </is>
      </c>
      <c r="C109" s="26" t="inlineStr">
        <is>
          <t>Gefährdungsbeurteilung</t>
        </is>
      </c>
      <c r="D109" s="26" t="inlineStr">
        <is>
          <t>Gefährdungen</t>
        </is>
      </c>
      <c r="E109" s="26" t="inlineStr">
        <is>
          <t>Röntgen und andere ionisierende Strahlung (nur Hinweis).</t>
        </is>
      </c>
      <c r="F109" s="26" t="inlineStr">
        <is>
          <t>Faktor: Sonstige Gefährdungen Maßnahmen: Röntgen und Strahlenschutz regeln das Strahlenschutzgesetz und die Strahlenschutzverordnung mit eigenen Pflichten (z. B. Fachkunde, Strahlenschutzverantwortliche und -beauftragte, Unterweisung) – nicht Gegenstand dieser Beurteilung; mit der zuständigen Strahlenschutzbehörde klären.</t>
        </is>
      </c>
      <c r="G109" s="26" t="n"/>
      <c r="H109" s="26" t="inlineStr">
        <is>
          <t>StrlSchG; StrlSchV – unsicher, nur Hinweis</t>
        </is>
      </c>
      <c r="I109" s="26" t="inlineStr">
        <is>
          <t>unsicher</t>
        </is>
      </c>
      <c r="J109" s="26" t="inlineStr">
        <is>
          <t>frei</t>
        </is>
      </c>
      <c r="K109" s="26" t="n"/>
      <c r="L109" s="26" t="inlineStr">
        <is>
          <t>StrlSchG; StrlSchV (Unterweisung § 63 StrlSchV)</t>
        </is>
      </c>
      <c r="M109" s="26" t="inlineStr">
        <is>
          <t>Als reiner Hinweis vertretbar.</t>
        </is>
      </c>
      <c r="N109" s="26" t="inlineStr">
        <is>
          <t>plausibel</t>
        </is>
      </c>
      <c r="O109" s="27" t="inlineStr">
        <is>
          <t>umgesetzt</t>
        </is>
      </c>
      <c r="P109" s="27" t="inlineStr">
        <is>
          <t>Inhalt unverändert; Fundstelle der Durchsicht übernommen.</t>
        </is>
      </c>
    </row>
    <row r="110" ht="32.8" customHeight="1" s="17">
      <c r="A110" s="26" t="inlineStr">
        <is>
          <t>B-109</t>
        </is>
      </c>
      <c r="B110" s="26" t="inlineStr">
        <is>
          <t>Alle Branchen (ohne Gruppe)</t>
        </is>
      </c>
      <c r="C110" s="26" t="inlineStr">
        <is>
          <t>Gefährdungsbeurteilung</t>
        </is>
      </c>
      <c r="D110" s="26" t="inlineStr">
        <is>
          <t>Ergebnis für schwangere oder stillende Frauen</t>
        </is>
      </c>
      <c r="E110" s="26" t="inlineStr">
        <is>
          <t>Für schwangere oder stillende Frauen werden voraussichtlich keine Schutzmaßnahmen erforderlich sein.</t>
        </is>
      </c>
      <c r="F110" s="26" t="n"/>
      <c r="G110" s="26" t="n"/>
      <c r="H110" s="26" t="inlineStr">
        <is>
          <t>§ 10 Abs. 1 Satz 1 Nr. 2 Buchst. a MuSchG</t>
        </is>
      </c>
      <c r="I110" s="26" t="inlineStr">
        <is>
          <t>Quelle genannt</t>
        </is>
      </c>
      <c r="J110" s="26" t="inlineStr">
        <is>
          <t>frei</t>
        </is>
      </c>
      <c r="K110" s="26" t="n"/>
      <c r="L110" s="26" t="inlineStr">
        <is>
          <t>§ 10 Abs. 1 Satz 1 Nr. 2 Buchst. a MuSchG</t>
        </is>
      </c>
      <c r="M110" s="26" t="inlineStr">
        <is>
          <t>Wortlaut entspricht dem Gesetz.</t>
        </is>
      </c>
      <c r="N110" s="26" t="inlineStr">
        <is>
          <t>plausibel</t>
        </is>
      </c>
      <c r="O110" s="27" t="inlineStr">
        <is>
          <t>umgesetzt</t>
        </is>
      </c>
      <c r="P110" s="27" t="inlineStr">
        <is>
          <t>Inhalt unverändert; Fundstelle der Durchsicht übernommen.</t>
        </is>
      </c>
    </row>
    <row r="111" ht="43.25" customHeight="1" s="17">
      <c r="A111" s="26" t="inlineStr">
        <is>
          <t>B-110</t>
        </is>
      </c>
      <c r="B111" s="26" t="inlineStr">
        <is>
          <t>Alle Branchen (ohne Gruppe)</t>
        </is>
      </c>
      <c r="C111" s="26" t="inlineStr">
        <is>
          <t>Gefährdungsbeurteilung</t>
        </is>
      </c>
      <c r="D111" s="26" t="inlineStr">
        <is>
          <t>Ergebnis für schwangere oder stillende Frauen</t>
        </is>
      </c>
      <c r="E111" s="26" t="inlineStr">
        <is>
          <t>Für schwangere oder stillende Frauen wird voraussichtlich eine Umgestaltung der Arbeitsbedingungen nach § 13 Abs. 1 Nr. 1 MuSchG erforderlich sein.</t>
        </is>
      </c>
      <c r="F111" s="26" t="n"/>
      <c r="G111" s="26" t="n"/>
      <c r="H111" s="26" t="inlineStr">
        <is>
          <t>§ 10 Abs. 1 Satz 1 Nr. 2 Buchst. b MuSchG</t>
        </is>
      </c>
      <c r="I111" s="26" t="inlineStr">
        <is>
          <t>Quelle genannt</t>
        </is>
      </c>
      <c r="J111" s="26" t="inlineStr">
        <is>
          <t>frei</t>
        </is>
      </c>
      <c r="K111" s="26" t="n"/>
      <c r="L111" s="26" t="inlineStr">
        <is>
          <t>§ 10 Abs. 1 Satz 1 Nr. 2 Buchst. b MuSchG</t>
        </is>
      </c>
      <c r="M111" s="26" t="n"/>
      <c r="N111" s="26" t="inlineStr">
        <is>
          <t>plausibel</t>
        </is>
      </c>
      <c r="O111" s="27" t="inlineStr">
        <is>
          <t>umgesetzt</t>
        </is>
      </c>
      <c r="P111" s="27" t="inlineStr">
        <is>
          <t>Inhalt unverändert; Fundstelle der Durchsicht übernommen.</t>
        </is>
      </c>
    </row>
    <row r="112" ht="43.25" customHeight="1" s="17">
      <c r="A112" s="26" t="inlineStr">
        <is>
          <t>B-111</t>
        </is>
      </c>
      <c r="B112" s="26" t="inlineStr">
        <is>
          <t>Alle Branchen (ohne Gruppe)</t>
        </is>
      </c>
      <c r="C112" s="26" t="inlineStr">
        <is>
          <t>Gefährdungsbeurteilung</t>
        </is>
      </c>
      <c r="D112" s="26" t="inlineStr">
        <is>
          <t>Ergebnis für schwangere oder stillende Frauen</t>
        </is>
      </c>
      <c r="E112" s="26" t="inlineStr">
        <is>
          <t>Eine Fortführung der Tätigkeit einer schwangeren oder stillenden Frau an diesem Arbeitsplatz wird voraussichtlich nicht möglich sein.</t>
        </is>
      </c>
      <c r="F112" s="26" t="n"/>
      <c r="G112" s="26" t="n"/>
      <c r="H112" s="26" t="inlineStr">
        <is>
          <t>§ 10 Abs. 1 Satz 1 Nr. 2 Buchst. c MuSchG</t>
        </is>
      </c>
      <c r="I112" s="26" t="inlineStr">
        <is>
          <t>Quelle genannt</t>
        </is>
      </c>
      <c r="J112" s="26" t="inlineStr">
        <is>
          <t>frei</t>
        </is>
      </c>
      <c r="K112" s="26" t="n"/>
      <c r="L112" s="26" t="inlineStr">
        <is>
          <t>§ 10 Abs. 1 Satz 1 Nr. 2 Buchst. c MuSchG</t>
        </is>
      </c>
      <c r="M112" s="26" t="n"/>
      <c r="N112" s="26" t="inlineStr">
        <is>
          <t>plausibel</t>
        </is>
      </c>
      <c r="O112" s="27" t="inlineStr">
        <is>
          <t>umgesetzt</t>
        </is>
      </c>
      <c r="P112" s="27" t="inlineStr">
        <is>
          <t>Inhalt unverändert; Fundstelle der Durchsicht übernommen.</t>
        </is>
      </c>
    </row>
    <row r="113" ht="43.25" customHeight="1" s="17">
      <c r="A113" s="26" t="inlineStr">
        <is>
          <t>B-112</t>
        </is>
      </c>
      <c r="B113" s="26" t="inlineStr">
        <is>
          <t>Alle Branchen (ohne Gruppe)</t>
        </is>
      </c>
      <c r="C113" s="26" t="inlineStr">
        <is>
          <t>Gefährdungsbeurteilung</t>
        </is>
      </c>
      <c r="D113" s="26" t="inlineStr">
        <is>
          <t>Gefährdungen und Schutzmaßnahmen für Jugendliche</t>
        </is>
      </c>
      <c r="E113" s="26" t="inlineStr">
        <is>
          <t>Gefährliche Arbeiten nur, soweit zur Ausbildung nötig, und unter Aufsicht einer fachkundigen Person (§ 22 JArbSchG).</t>
        </is>
      </c>
      <c r="F113" s="26" t="n"/>
      <c r="G113" s="26" t="n"/>
      <c r="H113" s="26" t="n"/>
      <c r="I113" s="26" t="inlineStr">
        <is>
          <t>ohne Quellenfeld (Fundstelle im Text)</t>
        </is>
      </c>
      <c r="J113" s="26" t="inlineStr">
        <is>
          <t>ändern</t>
        </is>
      </c>
      <c r="K113" s="26" t="inlineStr">
        <is>
          <t>„Gefährliche Arbeiten nach § 22 Abs. 1 JArbSchG nur, soweit zur Erreichung des Ausbildungsziels erforderlich, unter Aufsicht eines Fachkundigen; betriebsärztliche/sicherheitstechnische Betreuung sichergestellt (§ 22 Abs. 2, 3 JArbSchG).“</t>
        </is>
      </c>
      <c r="L113" s="26" t="inlineStr">
        <is>
          <t>§ 22 Abs. 2, 3 JArbSchG</t>
        </is>
      </c>
      <c r="M113" s="26" t="inlineStr">
        <is>
          <t>Fundstelle ins Quellenfeld; Abs. 3 fehlt.</t>
        </is>
      </c>
      <c r="N113" s="26" t="inlineStr">
        <is>
          <t>plausibel</t>
        </is>
      </c>
      <c r="O113" s="27" t="inlineStr">
        <is>
          <t>umgesetzt</t>
        </is>
      </c>
      <c r="P113" s="27" t="inlineStr">
        <is>
          <t>Korrektur übernommen, Fundstelle ersetzt.</t>
        </is>
      </c>
    </row>
    <row r="114" ht="32.8" customHeight="1" s="17">
      <c r="A114" s="26" t="inlineStr">
        <is>
          <t>B-113</t>
        </is>
      </c>
      <c r="B114" s="26" t="inlineStr">
        <is>
          <t>Alle Branchen (ohne Gruppe)</t>
        </is>
      </c>
      <c r="C114" s="26" t="inlineStr">
        <is>
          <t>Gefährdungsbeurteilung</t>
        </is>
      </c>
      <c r="D114" s="26" t="inlineStr">
        <is>
          <t>Gefährdungen und Schutzmaßnahmen für Jugendliche</t>
        </is>
      </c>
      <c r="E114" s="26" t="inlineStr">
        <is>
          <t>Keine Akkord- oder Fließarbeit (§ 23 JArbSchG).</t>
        </is>
      </c>
      <c r="F114" s="26" t="n"/>
      <c r="G114" s="26" t="n"/>
      <c r="H114" s="26" t="n"/>
      <c r="I114" s="26" t="inlineStr">
        <is>
          <t>ohne Quellenfeld (Fundstelle im Text)</t>
        </is>
      </c>
      <c r="J114" s="26" t="inlineStr">
        <is>
          <t>ändern</t>
        </is>
      </c>
      <c r="K114" s="26" t="inlineStr">
        <is>
          <t>Ausnahme ergänzen: „…, soweit nicht § 23 Abs. 2 JArbSchG greift (Ausbildung, Aufsicht).“</t>
        </is>
      </c>
      <c r="L114" s="26" t="inlineStr">
        <is>
          <t>§ 23 JArbSchG</t>
        </is>
      </c>
      <c r="M114" s="26" t="inlineStr">
        <is>
          <t>Abs. 2 lässt Ausnahmen zu.</t>
        </is>
      </c>
      <c r="N114" s="26" t="inlineStr">
        <is>
          <t>plausibel</t>
        </is>
      </c>
      <c r="O114" s="27" t="inlineStr">
        <is>
          <t>umgesetzt</t>
        </is>
      </c>
      <c r="P114" s="27" t="inlineStr">
        <is>
          <t>Korrektur übernommen, Fundstelle ersetzt.</t>
        </is>
      </c>
    </row>
    <row r="115" ht="43.25" customHeight="1" s="17">
      <c r="A115" s="26" t="inlineStr">
        <is>
          <t>B-114</t>
        </is>
      </c>
      <c r="B115" s="26" t="inlineStr">
        <is>
          <t>Alle Branchen (ohne Gruppe)</t>
        </is>
      </c>
      <c r="C115" s="26" t="inlineStr">
        <is>
          <t>Gefährdungsbeurteilung</t>
        </is>
      </c>
      <c r="D115" s="26" t="inlineStr">
        <is>
          <t>Gefährdungen und Schutzmaßnahmen für Jugendliche</t>
        </is>
      </c>
      <c r="E115" s="26" t="inlineStr">
        <is>
          <t>Arbeitszeit höchstens 8 Stunden täglich und 40 Stunden wöchentlich; Pausen nach § 11 JArbSchG.</t>
        </is>
      </c>
      <c r="F115" s="26" t="n"/>
      <c r="G115" s="26" t="inlineStr">
        <is>
          <t>höchstens 8 Stunden; 40 Stunden</t>
        </is>
      </c>
      <c r="H115" s="26" t="n"/>
      <c r="I115" s="26" t="inlineStr">
        <is>
          <t>ohne Quellenfeld (Fundstelle im Text)</t>
        </is>
      </c>
      <c r="J115" s="26" t="inlineStr">
        <is>
          <t>ändern</t>
        </is>
      </c>
      <c r="K115" s="26" t="inlineStr">
        <is>
          <t>„Höchstens 8 Std. täglich / 40 Std. wöchentlich (8,5 Std. nach § 8 Abs. 2a); Ruhepausen 30 Min. bei mehr als 4,5–6 Std., 60 Min. bei mehr als 6 Std. (§ 11); Schichtzeit max. 10 Std. (§ 12); Nachtruhe 20–6 Uhr mit Ausnahmen nach § 14.“</t>
        </is>
      </c>
      <c r="L115" s="26" t="inlineStr">
        <is>
          <t>§§ 8, 11, 12, 14 JArbSchG</t>
        </is>
      </c>
      <c r="M115" s="26" t="inlineStr">
        <is>
          <t>Pausenwerte und Ausnahmen konkret nennen, sonst nicht anwendbar.</t>
        </is>
      </c>
      <c r="N115" s="26" t="inlineStr">
        <is>
          <t>plausibel</t>
        </is>
      </c>
      <c r="O115" s="27" t="inlineStr">
        <is>
          <t>umgesetzt</t>
        </is>
      </c>
      <c r="P115" s="27" t="inlineStr">
        <is>
          <t>Korrektur übernommen, Fundstelle ersetzt.</t>
        </is>
      </c>
    </row>
    <row r="116" ht="32.8" customHeight="1" s="17">
      <c r="A116" s="26" t="inlineStr">
        <is>
          <t>B-115</t>
        </is>
      </c>
      <c r="B116" s="26" t="inlineStr">
        <is>
          <t>Alle Branchen (ohne Gruppe)</t>
        </is>
      </c>
      <c r="C116" s="26" t="inlineStr">
        <is>
          <t>Gefährdungsbeurteilung</t>
        </is>
      </c>
      <c r="D116" s="26" t="inlineStr">
        <is>
          <t>Gefährdungen und Schutzmaßnahmen für Jugendliche</t>
        </is>
      </c>
      <c r="E116" s="26" t="inlineStr">
        <is>
          <t>Unterweisung vor Beginn und mindestens halbjährlich (§ 29 JArbSchG).</t>
        </is>
      </c>
      <c r="F116" s="26" t="n"/>
      <c r="G116" s="26" t="n"/>
      <c r="H116" s="26" t="n"/>
      <c r="I116" s="26" t="inlineStr">
        <is>
          <t>ohne Quellenfeld (Fundstelle im Text)</t>
        </is>
      </c>
      <c r="J116" s="26" t="inlineStr">
        <is>
          <t>frei</t>
        </is>
      </c>
      <c r="K116" s="26" t="n"/>
      <c r="L116" s="26" t="inlineStr">
        <is>
          <t>§ 29 Abs. 1, 2 JArbSchG</t>
        </is>
      </c>
      <c r="M116" s="26" t="inlineStr">
        <is>
          <t>Halbjährliche Wiederholung korrekt.</t>
        </is>
      </c>
      <c r="N116" s="26" t="inlineStr">
        <is>
          <t>plausibel</t>
        </is>
      </c>
      <c r="O116" s="27" t="inlineStr">
        <is>
          <t>umgesetzt</t>
        </is>
      </c>
      <c r="P116" s="27" t="inlineStr">
        <is>
          <t>Inhalt unverändert; Fundstelle der Durchsicht übernommen.</t>
        </is>
      </c>
    </row>
    <row r="117" ht="32.8" customHeight="1" s="17">
      <c r="A117" s="26" t="inlineStr">
        <is>
          <t>B-116</t>
        </is>
      </c>
      <c r="B117" s="26" t="inlineStr">
        <is>
          <t>Alle Branchen (ohne Gruppe)</t>
        </is>
      </c>
      <c r="C117" s="26" t="inlineStr">
        <is>
          <t>Gefährdungsbeurteilung</t>
        </is>
      </c>
      <c r="D117" s="26" t="inlineStr">
        <is>
          <t>Überprüfung der Beurteilung</t>
        </is>
      </c>
      <c r="E117" s="26" t="inlineStr">
        <is>
          <t>bei Änderungen von Tätigkeiten, Arbeitsmitteln oder Arbeitsstoffen, nach Unfällen sowie jährlich</t>
        </is>
      </c>
      <c r="F117" s="26" t="n"/>
      <c r="G117" s="26" t="n"/>
      <c r="H117" s="26" t="n"/>
      <c r="I117" s="26" t="inlineStr">
        <is>
          <t>ohne Quelle</t>
        </is>
      </c>
      <c r="J117" s="26" t="inlineStr">
        <is>
          <t>frei</t>
        </is>
      </c>
      <c r="K117" s="26" t="inlineStr">
        <is>
          <t>Hinweis im Hilfetext: „jährlich“ ist Empfehlung (gute Praxis), keine Rechtsfrist.</t>
        </is>
      </c>
      <c r="L117" s="26" t="inlineStr">
        <is>
          <t>§ 3 Abs. 1 ArbSchG (Anpassung), DGUV Information 211-032 (Empfehlung)</t>
        </is>
      </c>
      <c r="M117" s="26" t="n"/>
      <c r="N117" s="26" t="inlineStr">
        <is>
          <t>plausibel</t>
        </is>
      </c>
      <c r="O117" s="27" t="inlineStr">
        <is>
          <t>umgesetzt</t>
        </is>
      </c>
      <c r="P117" s="27" t="inlineStr">
        <is>
          <t>Inhalt unverändert; Fundstelle der Durchsicht übernommen. Hinweis „Hinweis im Hilfetext: „jährlich“ ist Empfehlung (gute Praxis), keine Rechtsfrist.“ berücksichtigt.</t>
        </is>
      </c>
    </row>
    <row r="118" ht="53.7" customHeight="1" s="17">
      <c r="A118" s="26" t="inlineStr">
        <is>
          <t>B-117</t>
        </is>
      </c>
      <c r="B118" s="26" t="inlineStr">
        <is>
          <t>Alle Branchen (ohne Gruppe)</t>
        </is>
      </c>
      <c r="C118" s="26" t="inlineStr">
        <is>
          <t>Gefährdungsbeurteilung</t>
        </is>
      </c>
      <c r="D118" s="26" t="inlineStr">
        <is>
          <t>Überprüfung der Beurteilung</t>
        </is>
      </c>
      <c r="E118" s="26" t="inlineStr">
        <is>
          <t>bei Änderungen von Tätigkeiten, Arbeitsmitteln oder Arbeitsstoffen und nach Unfällen</t>
        </is>
      </c>
      <c r="F118" s="26" t="n"/>
      <c r="G118" s="26" t="n"/>
      <c r="H118" s="26" t="n"/>
      <c r="I118" s="26" t="inlineStr">
        <is>
          <t>ohne Quelle</t>
        </is>
      </c>
      <c r="J118" s="26" t="inlineStr">
        <is>
          <t>ändern</t>
        </is>
      </c>
      <c r="K118" s="26" t="inlineStr">
        <is>
          <t>Anlässe ergänzen: „… Änderungen der Arbeitsstätte, Unfälle und Beinaheunfälle, Berufskrankheiten/Gesundheitsbeschwerden, Ergebnisse der arbeitsmedizinischen Vorsorge, neue Vorschriften oder Erkenntnisse, Beschäftigung Jugendlicher bzw. Mitteilung einer Schwangerschaft.“</t>
        </is>
      </c>
      <c r="L118" s="26" t="inlineStr">
        <is>
          <t>§ 3 Abs. 1 ArbSchG; § 3 Abs. 7 BetrSichV; § 6 Abs. 9 GefStoffV (Wortlaut 2024 prüfen)</t>
        </is>
      </c>
      <c r="M118" s="26" t="inlineStr">
        <is>
          <t>Anlassliste unvollständig (K-034).</t>
        </is>
      </c>
      <c r="N118" s="26" t="inlineStr">
        <is>
          <t>plausibel</t>
        </is>
      </c>
      <c r="O118" s="27" t="inlineStr">
        <is>
          <t>umgesetzt</t>
        </is>
      </c>
      <c r="P118" s="27" t="inlineStr">
        <is>
          <t>Korrektur übernommen, Fundstelle ersetzt.</t>
        </is>
      </c>
    </row>
    <row r="119" ht="32.8" customHeight="1" s="17">
      <c r="A119" s="26" t="inlineStr">
        <is>
          <t>B-118</t>
        </is>
      </c>
      <c r="B119" s="26" t="inlineStr">
        <is>
          <t>Alle Branchen (ohne Gruppe)</t>
        </is>
      </c>
      <c r="C119" s="26" t="inlineStr">
        <is>
          <t>Unterweisungsnachweis</t>
        </is>
      </c>
      <c r="D119" s="26" t="inlineStr">
        <is>
          <t>Themen der Unterweisung</t>
        </is>
      </c>
      <c r="E119" s="26" t="inlineStr">
        <is>
          <t>Gefährdungen am eigenen Arbeitsplatz und festgelegte Schutzmaßnahmen (Ergebnis der Gefährdungsbeurteilung)</t>
        </is>
      </c>
      <c r="F119" s="26" t="n"/>
      <c r="G119" s="26" t="n"/>
      <c r="H119" s="26" t="inlineStr">
        <is>
          <t>§ 12 ArbSchG</t>
        </is>
      </c>
      <c r="I119" s="26" t="inlineStr">
        <is>
          <t>Quelle genannt</t>
        </is>
      </c>
      <c r="J119" s="26" t="inlineStr">
        <is>
          <t>frei</t>
        </is>
      </c>
      <c r="K119" s="26" t="n"/>
      <c r="L119" s="26" t="inlineStr">
        <is>
          <t>§ 12 Abs. 1 ArbSchG; § 4 Abs. 1 DGUV Vorschrift 1</t>
        </is>
      </c>
      <c r="M119" s="26" t="n"/>
      <c r="N119" s="26" t="inlineStr">
        <is>
          <t>plausibel</t>
        </is>
      </c>
      <c r="O119" s="27" t="inlineStr">
        <is>
          <t>umgesetzt</t>
        </is>
      </c>
      <c r="P119" s="27" t="inlineStr">
        <is>
          <t>Inhalt unverändert; Fundstelle der Durchsicht übernommen.</t>
        </is>
      </c>
    </row>
    <row r="120" ht="32.8" customHeight="1" s="17">
      <c r="A120" s="26" t="inlineStr">
        <is>
          <t>B-119</t>
        </is>
      </c>
      <c r="B120" s="26" t="inlineStr">
        <is>
          <t>Alle Branchen (ohne Gruppe)</t>
        </is>
      </c>
      <c r="C120" s="26" t="inlineStr">
        <is>
          <t>Unterweisungsnachweis</t>
        </is>
      </c>
      <c r="D120" s="26" t="inlineStr">
        <is>
          <t>Themen der Unterweisung</t>
        </is>
      </c>
      <c r="E120" s="26" t="inlineStr">
        <is>
          <t>Erste Hilfe: Ersthelfer, Standort Verbandkasten, Notrufnummer, Dokumentation im Verbandbuch</t>
        </is>
      </c>
      <c r="F120" s="26" t="n"/>
      <c r="G120" s="26" t="n"/>
      <c r="H120" s="26" t="inlineStr">
        <is>
          <t>§§ 24, 26 DGUV Vorschrift 1; BGHW A 131</t>
        </is>
      </c>
      <c r="I120" s="26" t="inlineStr">
        <is>
          <t>Quelle genannt</t>
        </is>
      </c>
      <c r="J120" s="26" t="inlineStr">
        <is>
          <t>frei</t>
        </is>
      </c>
      <c r="K120" s="26" t="n"/>
      <c r="L120" s="26" t="inlineStr">
        <is>
          <t>§§ 24, 26 DGUV Vorschrift 1; ASR A4.3</t>
        </is>
      </c>
      <c r="M120" s="26" t="n"/>
      <c r="N120" s="26" t="inlineStr">
        <is>
          <t>plausibel</t>
        </is>
      </c>
      <c r="O120" s="27" t="inlineStr">
        <is>
          <t>umgesetzt</t>
        </is>
      </c>
      <c r="P120" s="27" t="inlineStr">
        <is>
          <t>Inhalt unverändert; Fundstelle der Durchsicht übernommen.</t>
        </is>
      </c>
    </row>
    <row r="121" ht="32.8" customHeight="1" s="17">
      <c r="A121" s="26" t="inlineStr">
        <is>
          <t>B-120</t>
        </is>
      </c>
      <c r="B121" s="26" t="inlineStr">
        <is>
          <t>Alle Branchen (ohne Gruppe)</t>
        </is>
      </c>
      <c r="C121" s="26" t="inlineStr">
        <is>
          <t>Unterweisungsnachweis</t>
        </is>
      </c>
      <c r="D121" s="26" t="inlineStr">
        <is>
          <t>Themen der Unterweisung</t>
        </is>
      </c>
      <c r="E121" s="26" t="inlineStr">
        <is>
          <t>Brandschutz: Verhalten im Brandfall, Umgang mit Feuerlöschern, Flucht- und Rettungswege</t>
        </is>
      </c>
      <c r="F121" s="26" t="n"/>
      <c r="G121" s="26" t="n"/>
      <c r="H121" s="26" t="inlineStr">
        <is>
          <t>§ 22 Abs. 2 DGUV Vorschrift 1</t>
        </is>
      </c>
      <c r="I121" s="26" t="inlineStr">
        <is>
          <t>Quelle genannt</t>
        </is>
      </c>
      <c r="J121" s="26" t="inlineStr">
        <is>
          <t>frei</t>
        </is>
      </c>
      <c r="K121" s="26" t="inlineStr">
        <is>
          <t>Quelle ergänzen.</t>
        </is>
      </c>
      <c r="L121" s="26" t="inlineStr">
        <is>
          <t>§ 22 Abs. 2 DGUV Vorschrift 1; ASR A2.2 Nr. 7</t>
        </is>
      </c>
      <c r="M121" s="26" t="n"/>
      <c r="N121" s="26" t="inlineStr">
        <is>
          <t>plausibel</t>
        </is>
      </c>
      <c r="O121" s="27" t="inlineStr">
        <is>
          <t>umgesetzt</t>
        </is>
      </c>
      <c r="P121" s="27" t="inlineStr">
        <is>
          <t>Inhalt unverändert; Fundstelle der Durchsicht übernommen. Hinweis „Quelle ergänzen.“ berücksichtigt.</t>
        </is>
      </c>
    </row>
    <row r="122" ht="22.35" customHeight="1" s="17">
      <c r="A122" s="26" t="inlineStr">
        <is>
          <t>B-121</t>
        </is>
      </c>
      <c r="B122" s="26" t="inlineStr">
        <is>
          <t>Alle Branchen (ohne Gruppe)</t>
        </is>
      </c>
      <c r="C122" s="26" t="inlineStr">
        <is>
          <t>Unterweisungsnachweis</t>
        </is>
      </c>
      <c r="D122" s="26" t="inlineStr">
        <is>
          <t>Themen der Unterweisung</t>
        </is>
      </c>
      <c r="E122" s="26" t="inlineStr">
        <is>
          <t>Stolper-, Rutsch- und Sturzgefahren; Ordnung und Sauberkeit auf Verkehrswegen</t>
        </is>
      </c>
      <c r="F122" s="26" t="n"/>
      <c r="G122" s="26" t="n"/>
      <c r="H122" s="26" t="inlineStr">
        <is>
          <t>BGHW</t>
        </is>
      </c>
      <c r="I122" s="26" t="inlineStr">
        <is>
          <t>Quelle genannt</t>
        </is>
      </c>
      <c r="J122" s="26" t="inlineStr">
        <is>
          <t>frei</t>
        </is>
      </c>
      <c r="K122" s="26" t="n"/>
      <c r="L122" s="26" t="inlineStr">
        <is>
          <t>ASR A1.5; BGHW</t>
        </is>
      </c>
      <c r="M122" s="26" t="n"/>
      <c r="N122" s="26" t="inlineStr">
        <is>
          <t>plausibel</t>
        </is>
      </c>
      <c r="O122" s="27" t="inlineStr">
        <is>
          <t>umgesetzt</t>
        </is>
      </c>
      <c r="P122" s="27" t="inlineStr">
        <is>
          <t>Inhalt unverändert; Fundstelle der Durchsicht übernommen.</t>
        </is>
      </c>
    </row>
    <row r="123" ht="22.35" customHeight="1" s="17">
      <c r="A123" s="26" t="inlineStr">
        <is>
          <t>B-122</t>
        </is>
      </c>
      <c r="B123" s="26" t="inlineStr">
        <is>
          <t>Alle Branchen (ohne Gruppe)</t>
        </is>
      </c>
      <c r="C123" s="26" t="inlineStr">
        <is>
          <t>Unterweisungsnachweis</t>
        </is>
      </c>
      <c r="D123" s="26" t="inlineStr">
        <is>
          <t>Themen der Unterweisung</t>
        </is>
      </c>
      <c r="E123" s="26" t="inlineStr">
        <is>
          <t>Sichere Benutzung von Leitern und Tritten</t>
        </is>
      </c>
      <c r="F123" s="26" t="n"/>
      <c r="G123" s="26" t="n"/>
      <c r="H123" s="26" t="inlineStr">
        <is>
          <t>BG ETEM</t>
        </is>
      </c>
      <c r="I123" s="26" t="inlineStr">
        <is>
          <t>Quelle genannt</t>
        </is>
      </c>
      <c r="J123" s="26" t="inlineStr">
        <is>
          <t>frei</t>
        </is>
      </c>
      <c r="K123" s="26" t="inlineStr">
        <is>
          <t>Quelle präzisieren.</t>
        </is>
      </c>
      <c r="L123" s="26" t="inlineStr">
        <is>
          <t>DGUV Information 208-016</t>
        </is>
      </c>
      <c r="M123" s="26" t="n"/>
      <c r="N123" s="26" t="inlineStr">
        <is>
          <t>plausibel</t>
        </is>
      </c>
      <c r="O123" s="27" t="inlineStr">
        <is>
          <t>umgesetzt</t>
        </is>
      </c>
      <c r="P123" s="27" t="inlineStr">
        <is>
          <t>Inhalt unverändert; Fundstelle der Durchsicht übernommen. Hinweis „Quelle präzisieren.“ berücksichtigt.</t>
        </is>
      </c>
    </row>
    <row r="124" ht="32.8" customHeight="1" s="17">
      <c r="A124" s="26" t="inlineStr">
        <is>
          <t>B-123</t>
        </is>
      </c>
      <c r="B124" s="26" t="inlineStr">
        <is>
          <t>Alle Branchen (ohne Gruppe)</t>
        </is>
      </c>
      <c r="C124" s="26" t="inlineStr">
        <is>
          <t>Unterweisungsnachweis</t>
        </is>
      </c>
      <c r="D124" s="26" t="inlineStr">
        <is>
          <t>Themen der Unterweisung</t>
        </is>
      </c>
      <c r="E124" s="26" t="inlineStr">
        <is>
          <t>Elektrische Geräte: Sichtprüfung vor Benutzung, Mängel melden, defekte Geräte nicht benutzen</t>
        </is>
      </c>
      <c r="F124" s="26" t="n"/>
      <c r="G124" s="26" t="n"/>
      <c r="H124" s="26" t="inlineStr">
        <is>
          <t>BGW</t>
        </is>
      </c>
      <c r="I124" s="26" t="inlineStr">
        <is>
          <t>Quelle genannt</t>
        </is>
      </c>
      <c r="J124" s="26" t="inlineStr">
        <is>
          <t>frei</t>
        </is>
      </c>
      <c r="K124" s="26" t="inlineStr">
        <is>
          <t>Quelle präzisieren.</t>
        </is>
      </c>
      <c r="L124" s="26" t="inlineStr">
        <is>
          <t>§ 4 Abs. 5 BetrSichV; DGUV Vorschrift 3</t>
        </is>
      </c>
      <c r="M124" s="26" t="n"/>
      <c r="N124" s="26" t="inlineStr">
        <is>
          <t>plausibel</t>
        </is>
      </c>
      <c r="O124" s="27" t="inlineStr">
        <is>
          <t>umgesetzt</t>
        </is>
      </c>
      <c r="P124" s="27" t="inlineStr">
        <is>
          <t>Inhalt unverändert; Fundstelle der Durchsicht übernommen. Hinweis „Quelle präzisieren.“ berücksichtigt.</t>
        </is>
      </c>
    </row>
    <row r="125" ht="43.25" customHeight="1" s="17">
      <c r="A125" s="26" t="inlineStr">
        <is>
          <t>B-124</t>
        </is>
      </c>
      <c r="B125" s="26" t="inlineStr">
        <is>
          <t>Alle Branchen (ohne Gruppe)</t>
        </is>
      </c>
      <c r="C125" s="26" t="inlineStr">
        <is>
          <t>Unterweisungsnachweis</t>
        </is>
      </c>
      <c r="D125" s="26" t="inlineStr">
        <is>
          <t>Themen der Unterweisung</t>
        </is>
      </c>
      <c r="E125" s="26" t="inlineStr">
        <is>
          <t>Gefahrstoffe: Inhalt der Betriebsanweisungen, Gefahren, Schutzmaßnahmen, Zugang zu Sicherheitsdatenblättern</t>
        </is>
      </c>
      <c r="F125" s="26" t="n"/>
      <c r="G125" s="26" t="n"/>
      <c r="H125" s="26" t="inlineStr">
        <is>
          <t>BGN</t>
        </is>
      </c>
      <c r="I125" s="26" t="inlineStr">
        <is>
          <t>Quelle genannt</t>
        </is>
      </c>
      <c r="J125" s="26" t="inlineStr">
        <is>
          <t>ändern</t>
        </is>
      </c>
      <c r="K125" s="26" t="inlineStr">
        <is>
          <t>„… Unterweisung mündlich anhand der Betriebsanweisung, mit Unterschrift der Unterwiesenen (§ 14 Abs. 2 GefStoffV)“ – als Hinweis zum Thema.</t>
        </is>
      </c>
      <c r="L125" s="26" t="inlineStr">
        <is>
          <t>§ 14 Abs. 2 GefStoffV</t>
        </is>
      </c>
      <c r="M125" s="26" t="inlineStr">
        <is>
          <t>GefStoffV verlangt mündliche Unterweisung und Unterschrift (Stand 17.12.2025 nachgelesen).</t>
        </is>
      </c>
      <c r="N125" s="26" t="inlineStr">
        <is>
          <t>bestätigt</t>
        </is>
      </c>
      <c r="O125" s="27" t="inlineStr">
        <is>
          <t>umgesetzt</t>
        </is>
      </c>
      <c r="P125" s="27" t="inlineStr">
        <is>
          <t>Hinweis zum Thema angefügt; die App verlangt bei Gefahr- und Biostoff-Themen „Unterschriften auf Papier eingeholt“, das PDF druckt den Hinweis über der Unterschriftenliste.</t>
        </is>
      </c>
    </row>
    <row r="126" ht="32.8" customHeight="1" s="17">
      <c r="A126" s="26" t="inlineStr">
        <is>
          <t>B-125</t>
        </is>
      </c>
      <c r="B126" s="26" t="inlineStr">
        <is>
          <t>Alle Branchen (ohne Gruppe)</t>
        </is>
      </c>
      <c r="C126" s="26" t="inlineStr">
        <is>
          <t>Unterweisungsnachweis</t>
        </is>
      </c>
      <c r="D126" s="26" t="inlineStr">
        <is>
          <t>Themen der Unterweisung</t>
        </is>
      </c>
      <c r="E126" s="26" t="inlineStr">
        <is>
          <t>Hautschutz: Hautschutzplan, richtige Schutzhandschuhe, Hautreinigung und -pflege</t>
        </is>
      </c>
      <c r="F126" s="26" t="n"/>
      <c r="G126" s="26" t="n"/>
      <c r="H126" s="26" t="inlineStr">
        <is>
          <t>TRGS 401</t>
        </is>
      </c>
      <c r="I126" s="26" t="inlineStr">
        <is>
          <t>Quelle genannt</t>
        </is>
      </c>
      <c r="J126" s="26" t="inlineStr">
        <is>
          <t>frei</t>
        </is>
      </c>
      <c r="K126" s="26" t="n"/>
      <c r="L126" s="26" t="inlineStr">
        <is>
          <t>TRGS 401</t>
        </is>
      </c>
      <c r="M126" s="26" t="n"/>
      <c r="N126" s="26" t="inlineStr">
        <is>
          <t>plausibel</t>
        </is>
      </c>
      <c r="O126" s="27" t="inlineStr">
        <is>
          <t>umgesetzt</t>
        </is>
      </c>
      <c r="P126" s="27" t="inlineStr">
        <is>
          <t>Inhalt unverändert; Fundstelle der Durchsicht übernommen.</t>
        </is>
      </c>
    </row>
    <row r="127" ht="22.35" customHeight="1" s="17">
      <c r="A127" s="26" t="inlineStr">
        <is>
          <t>B-126</t>
        </is>
      </c>
      <c r="B127" s="26" t="inlineStr">
        <is>
          <t>Alle Branchen (ohne Gruppe)</t>
        </is>
      </c>
      <c r="C127" s="26" t="inlineStr">
        <is>
          <t>Unterweisungsnachweis</t>
        </is>
      </c>
      <c r="D127" s="26" t="inlineStr">
        <is>
          <t>Themen der Unterweisung</t>
        </is>
      </c>
      <c r="E127" s="26" t="inlineStr">
        <is>
          <t>Persönliche Schutzausrüstung: Auswahl, Benutzung, Pflege</t>
        </is>
      </c>
      <c r="F127" s="26" t="n"/>
      <c r="G127" s="26" t="n"/>
      <c r="H127" s="26" t="inlineStr">
        <is>
          <t>BG ETEM</t>
        </is>
      </c>
      <c r="I127" s="26" t="inlineStr">
        <is>
          <t>Quelle genannt</t>
        </is>
      </c>
      <c r="J127" s="26" t="inlineStr">
        <is>
          <t>frei</t>
        </is>
      </c>
      <c r="K127" s="26" t="inlineStr">
        <is>
          <t>Quelle präzisieren.</t>
        </is>
      </c>
      <c r="L127" s="26" t="inlineStr">
        <is>
          <t>§ 3 PSA-BV; DGUV Regel 112-989</t>
        </is>
      </c>
      <c r="M127" s="26" t="n"/>
      <c r="N127" s="26" t="inlineStr">
        <is>
          <t>plausibel</t>
        </is>
      </c>
      <c r="O127" s="27" t="inlineStr">
        <is>
          <t>umgesetzt</t>
        </is>
      </c>
      <c r="P127" s="27" t="inlineStr">
        <is>
          <t>Inhalt unverändert; Fundstelle der Durchsicht übernommen. Hinweis „Quelle präzisieren.“ berücksichtigt.</t>
        </is>
      </c>
    </row>
    <row r="128" ht="43.25" customHeight="1" s="17">
      <c r="A128" s="26" t="inlineStr">
        <is>
          <t>B-127</t>
        </is>
      </c>
      <c r="B128" s="26" t="inlineStr">
        <is>
          <t>Gastronomie / Café, Handwerk / Bau (inkl. Holz / Tischlerei), Büro / Laden</t>
        </is>
      </c>
      <c r="C128" s="26" t="inlineStr">
        <is>
          <t>Unterweisungsnachweis</t>
        </is>
      </c>
      <c r="D128" s="26" t="inlineStr">
        <is>
          <t>Themen der Unterweisung</t>
        </is>
      </c>
      <c r="E128" s="26" t="inlineStr">
        <is>
          <t>Heben und Tragen: Hilfsmittel, rückengerechte Technik</t>
        </is>
      </c>
      <c r="F128" s="26" t="n"/>
      <c r="G128" s="26" t="n"/>
      <c r="H128" s="26" t="inlineStr">
        <is>
          <t>BG BAU</t>
        </is>
      </c>
      <c r="I128" s="26" t="inlineStr">
        <is>
          <t>Quelle genannt</t>
        </is>
      </c>
      <c r="J128" s="26" t="inlineStr">
        <is>
          <t>frei</t>
        </is>
      </c>
      <c r="K128" s="26" t="inlineStr">
        <is>
          <t>Quelle neutral fassen.</t>
        </is>
      </c>
      <c r="L128" s="26" t="inlineStr">
        <is>
          <t>LasthandhabV; Leitmerkmalmethode (BAuA)</t>
        </is>
      </c>
      <c r="M128" s="26" t="inlineStr">
        <is>
          <t>„BG BAU“ als Quelle für Gastro/Büro unpassend.</t>
        </is>
      </c>
      <c r="N128" s="26" t="inlineStr">
        <is>
          <t>plausibel</t>
        </is>
      </c>
      <c r="O128" s="27" t="inlineStr">
        <is>
          <t>umgesetzt</t>
        </is>
      </c>
      <c r="P128" s="27" t="inlineStr">
        <is>
          <t>Inhalt unverändert; Fundstelle der Durchsicht übernommen. Hinweis „Quelle neutral fassen.“ berücksichtigt.</t>
        </is>
      </c>
    </row>
    <row r="129" ht="32.8" customHeight="1" s="17">
      <c r="A129" s="26" t="inlineStr">
        <is>
          <t>B-128</t>
        </is>
      </c>
      <c r="B129" s="26" t="inlineStr">
        <is>
          <t>Alle Branchen (ohne Gruppe)</t>
        </is>
      </c>
      <c r="C129" s="26" t="inlineStr">
        <is>
          <t>Unterweisungsnachweis</t>
        </is>
      </c>
      <c r="D129" s="26" t="inlineStr">
        <is>
          <t>Themen der Unterweisung</t>
        </is>
      </c>
      <c r="E129" s="26" t="inlineStr">
        <is>
          <t>Psychische Belastungen: Verhalten bei Konflikten, Aggression und Übergriffen, Unterstützungsangebote</t>
        </is>
      </c>
      <c r="F129" s="26" t="n"/>
      <c r="G129" s="26" t="n"/>
      <c r="H129" s="26" t="inlineStr">
        <is>
          <t>BGW</t>
        </is>
      </c>
      <c r="I129" s="26" t="inlineStr">
        <is>
          <t>Quelle genannt</t>
        </is>
      </c>
      <c r="J129" s="26" t="inlineStr">
        <is>
          <t>frei</t>
        </is>
      </c>
      <c r="K129" s="26" t="n"/>
      <c r="L129" s="26" t="inlineStr">
        <is>
          <t>§ 5 Abs. 3 Nr. 6 ArbSchG; BGW</t>
        </is>
      </c>
      <c r="M129" s="26" t="n"/>
      <c r="N129" s="26" t="inlineStr">
        <is>
          <t>plausibel</t>
        </is>
      </c>
      <c r="O129" s="27" t="inlineStr">
        <is>
          <t>umgesetzt</t>
        </is>
      </c>
      <c r="P129" s="27" t="inlineStr">
        <is>
          <t>Inhalt unverändert; Fundstelle der Durchsicht übernommen.</t>
        </is>
      </c>
    </row>
    <row r="130" ht="32.8" customHeight="1" s="17">
      <c r="A130" s="26" t="inlineStr">
        <is>
          <t>B-129</t>
        </is>
      </c>
      <c r="B130" s="26" t="inlineStr">
        <is>
          <t>Friseur</t>
        </is>
      </c>
      <c r="C130" s="26" t="inlineStr">
        <is>
          <t>Unterweisungsnachweis</t>
        </is>
      </c>
      <c r="D130" s="26" t="inlineStr">
        <is>
          <t>Themen der Unterweisung</t>
        </is>
      </c>
      <c r="E130" s="26" t="inlineStr">
        <is>
          <t>Friseurchemikalien (Färbe-, Blondier-, Dauerwellmittel): Mischen, Anwenden, Handschuhpflicht, Lüftung</t>
        </is>
      </c>
      <c r="F130" s="26" t="n"/>
      <c r="G130" s="26" t="n"/>
      <c r="H130" s="26" t="inlineStr">
        <is>
          <t>TRGS 530</t>
        </is>
      </c>
      <c r="I130" s="26" t="inlineStr">
        <is>
          <t>Quelle genannt</t>
        </is>
      </c>
      <c r="J130" s="26" t="inlineStr">
        <is>
          <t>frei</t>
        </is>
      </c>
      <c r="K130" s="26" t="n"/>
      <c r="L130" s="26" t="inlineStr">
        <is>
          <t>TRGS 530</t>
        </is>
      </c>
      <c r="M130" s="26" t="n"/>
      <c r="N130" s="26" t="inlineStr">
        <is>
          <t>bestätigt</t>
        </is>
      </c>
      <c r="O130" s="27" t="inlineStr">
        <is>
          <t>umgesetzt</t>
        </is>
      </c>
      <c r="P130" s="27" t="inlineStr">
        <is>
          <t>Inhalt unverändert; Fundstelle der Durchsicht übernommen.</t>
        </is>
      </c>
    </row>
    <row r="131" ht="22.35" customHeight="1" s="17">
      <c r="A131" s="26" t="inlineStr">
        <is>
          <t>B-130</t>
        </is>
      </c>
      <c r="B131" s="26" t="inlineStr">
        <is>
          <t>Friseur, Kosmetik</t>
        </is>
      </c>
      <c r="C131" s="26" t="inlineStr">
        <is>
          <t>Unterweisungsnachweis</t>
        </is>
      </c>
      <c r="D131" s="26" t="inlineStr">
        <is>
          <t>Themen der Unterweisung</t>
        </is>
      </c>
      <c r="E131" s="26" t="inlineStr">
        <is>
          <t>Feuchtarbeit und Hautschutz im Salon (Hautschutz- und Händehygieneplan)</t>
        </is>
      </c>
      <c r="F131" s="26" t="n"/>
      <c r="G131" s="26" t="n"/>
      <c r="H131" s="26" t="inlineStr">
        <is>
          <t>BGW</t>
        </is>
      </c>
      <c r="I131" s="26" t="inlineStr">
        <is>
          <t>Quelle genannt</t>
        </is>
      </c>
      <c r="J131" s="26" t="inlineStr">
        <is>
          <t>frei</t>
        </is>
      </c>
      <c r="K131" s="26" t="n"/>
      <c r="L131" s="26" t="inlineStr">
        <is>
          <t>TRGS 401/530; BGW</t>
        </is>
      </c>
      <c r="M131" s="26" t="n"/>
      <c r="N131" s="26" t="inlineStr">
        <is>
          <t>plausibel</t>
        </is>
      </c>
      <c r="O131" s="27" t="inlineStr">
        <is>
          <t>umgesetzt</t>
        </is>
      </c>
      <c r="P131" s="27" t="inlineStr">
        <is>
          <t>Inhalt unverändert; Fundstelle der Durchsicht übernommen.</t>
        </is>
      </c>
    </row>
    <row r="132" ht="32.8" customHeight="1" s="17">
      <c r="A132" s="26" t="inlineStr">
        <is>
          <t>B-131</t>
        </is>
      </c>
      <c r="B132" s="26" t="inlineStr">
        <is>
          <t>Kosmetik</t>
        </is>
      </c>
      <c r="C132" s="26" t="inlineStr">
        <is>
          <t>Unterweisungsnachweis</t>
        </is>
      </c>
      <c r="D132" s="26" t="inlineStr">
        <is>
          <t>Themen der Unterweisung</t>
        </is>
      </c>
      <c r="E132" s="26" t="inlineStr">
        <is>
          <t>Infektionsschutz und Hygiene: Stich- und Schnittverletzungen, Umgang mit Blut, Instrumentenaufbereitung</t>
        </is>
      </c>
      <c r="F132" s="26" t="n"/>
      <c r="G132" s="26" t="n"/>
      <c r="H132" s="26" t="inlineStr">
        <is>
          <t>BGW</t>
        </is>
      </c>
      <c r="I132" s="26" t="inlineStr">
        <is>
          <t>Quelle genannt</t>
        </is>
      </c>
      <c r="J132" s="26" t="inlineStr">
        <is>
          <t>frei</t>
        </is>
      </c>
      <c r="K132" s="26" t="n"/>
      <c r="L132" s="26" t="inlineStr">
        <is>
          <t>BGW; BioStoffV</t>
        </is>
      </c>
      <c r="M132" s="26" t="n"/>
      <c r="N132" s="26" t="inlineStr">
        <is>
          <t>plausibel</t>
        </is>
      </c>
      <c r="O132" s="27" t="inlineStr">
        <is>
          <t>umgesetzt</t>
        </is>
      </c>
      <c r="P132" s="27" t="inlineStr">
        <is>
          <t>Inhalt unverändert; Fundstelle der Durchsicht übernommen.</t>
        </is>
      </c>
    </row>
    <row r="133" ht="32.8" customHeight="1" s="17">
      <c r="A133" s="26" t="inlineStr">
        <is>
          <t>B-132</t>
        </is>
      </c>
      <c r="B133" s="26" t="inlineStr">
        <is>
          <t>Kosmetik</t>
        </is>
      </c>
      <c r="C133" s="26" t="inlineStr">
        <is>
          <t>Unterweisungsnachweis</t>
        </is>
      </c>
      <c r="D133" s="26" t="inlineStr">
        <is>
          <t>Themen der Unterweisung</t>
        </is>
      </c>
      <c r="E133" s="26" t="inlineStr">
        <is>
          <t>Bedienung höhenverstellbarer Behandlungsliegen (auch für Reinigungskräfte)</t>
        </is>
      </c>
      <c r="F133" s="26" t="n"/>
      <c r="G133" s="26" t="n"/>
      <c r="H133" s="26" t="inlineStr">
        <is>
          <t>BGW</t>
        </is>
      </c>
      <c r="I133" s="26" t="inlineStr">
        <is>
          <t>Quelle genannt</t>
        </is>
      </c>
      <c r="J133" s="26" t="inlineStr">
        <is>
          <t>frei</t>
        </is>
      </c>
      <c r="K133" s="26" t="n"/>
      <c r="L133" s="26" t="inlineStr">
        <is>
          <t>BGW</t>
        </is>
      </c>
      <c r="M133" s="26" t="n"/>
      <c r="N133" s="26" t="inlineStr">
        <is>
          <t>plausibel</t>
        </is>
      </c>
      <c r="O133" s="27" t="inlineStr">
        <is>
          <t>umgesetzt</t>
        </is>
      </c>
      <c r="P133" s="27" t="inlineStr">
        <is>
          <t>Inhalt unverändert; Fundstelle der Durchsicht übernommen.</t>
        </is>
      </c>
    </row>
    <row r="134" ht="22.35" customHeight="1" s="17">
      <c r="A134" s="26" t="inlineStr">
        <is>
          <t>B-133</t>
        </is>
      </c>
      <c r="B134" s="26" t="inlineStr">
        <is>
          <t>Gastronomie / Café</t>
        </is>
      </c>
      <c r="C134" s="26" t="inlineStr">
        <is>
          <t>Unterweisungsnachweis</t>
        </is>
      </c>
      <c r="D134" s="26" t="inlineStr">
        <is>
          <t>Themen der Unterweisung</t>
        </is>
      </c>
      <c r="E134" s="26" t="inlineStr">
        <is>
          <t>Fritteusen: Verbrühungsrisiko und Fettbrand, Löschen mit Brandklasse-F-Löscher</t>
        </is>
      </c>
      <c r="F134" s="26" t="n"/>
      <c r="G134" s="26" t="n"/>
      <c r="H134" s="26" t="inlineStr">
        <is>
          <t>BGN</t>
        </is>
      </c>
      <c r="I134" s="26" t="inlineStr">
        <is>
          <t>Quelle genannt</t>
        </is>
      </c>
      <c r="J134" s="26" t="inlineStr">
        <is>
          <t>frei</t>
        </is>
      </c>
      <c r="K134" s="26" t="n"/>
      <c r="L134" s="26" t="inlineStr">
        <is>
          <t>BGN ASI 2.15</t>
        </is>
      </c>
      <c r="M134" s="26" t="n"/>
      <c r="N134" s="26" t="inlineStr">
        <is>
          <t>bestätigt</t>
        </is>
      </c>
      <c r="O134" s="27" t="inlineStr">
        <is>
          <t>umgesetzt</t>
        </is>
      </c>
      <c r="P134" s="27" t="inlineStr">
        <is>
          <t>Inhalt unverändert; Fundstelle der Durchsicht übernommen.</t>
        </is>
      </c>
    </row>
    <row r="135" ht="32.8" customHeight="1" s="17">
      <c r="A135" s="26" t="inlineStr">
        <is>
          <t>B-134</t>
        </is>
      </c>
      <c r="B135" s="26" t="inlineStr">
        <is>
          <t>Gastronomie / Café, Handwerk / Bau (inkl. Holz / Tischlerei)</t>
        </is>
      </c>
      <c r="C135" s="26" t="inlineStr">
        <is>
          <t>Unterweisungsnachweis</t>
        </is>
      </c>
      <c r="D135" s="26" t="inlineStr">
        <is>
          <t>Themen der Unterweisung</t>
        </is>
      </c>
      <c r="E135" s="26" t="inlineStr">
        <is>
          <t>Lärm: Gehörschutz ab 80/85 dB(A)</t>
        </is>
      </c>
      <c r="F135" s="26" t="n"/>
      <c r="G135" s="26" t="inlineStr">
        <is>
          <t>85 dB(A)</t>
        </is>
      </c>
      <c r="H135" s="26" t="inlineStr">
        <is>
          <t>BG BAU</t>
        </is>
      </c>
      <c r="I135" s="26" t="inlineStr">
        <is>
          <t>Quelle genannt</t>
        </is>
      </c>
      <c r="J135" s="26" t="inlineStr">
        <is>
          <t>ändern</t>
        </is>
      </c>
      <c r="K135" s="26" t="inlineStr">
        <is>
          <t>„Lärm: Gehörschutz bereitstellen ab 80 dB(A), tragen ab 85 dB(A)“</t>
        </is>
      </c>
      <c r="L135" s="26" t="inlineStr">
        <is>
          <t>§ 8 LärmVibrationsArbSchV</t>
        </is>
      </c>
      <c r="M135" s="26" t="inlineStr">
        <is>
          <t>„ab 80/85“ unklar; Quelle nicht BG BAU.</t>
        </is>
      </c>
      <c r="N135" s="26" t="inlineStr">
        <is>
          <t>bestätigt</t>
        </is>
      </c>
      <c r="O135" s="27" t="inlineStr">
        <is>
          <t>umgesetzt</t>
        </is>
      </c>
      <c r="P135" s="27" t="inlineStr">
        <is>
          <t>Korrektur übernommen, Fundstelle ersetzt.</t>
        </is>
      </c>
    </row>
    <row r="136" ht="32.8" customHeight="1" s="17">
      <c r="A136" s="26" t="inlineStr">
        <is>
          <t>B-135</t>
        </is>
      </c>
      <c r="B136" s="26" t="inlineStr">
        <is>
          <t>Handwerk / Bau (inkl. Holz / Tischlerei)</t>
        </is>
      </c>
      <c r="C136" s="26" t="inlineStr">
        <is>
          <t>Unterweisungsnachweis</t>
        </is>
      </c>
      <c r="D136" s="26" t="inlineStr">
        <is>
          <t>Themen der Unterweisung</t>
        </is>
      </c>
      <c r="E136" s="26" t="inlineStr">
        <is>
          <t>Staubarmes Arbeiten (Absaugung, Nassbearbeitung, Reinigung mit Industriesauger)</t>
        </is>
      </c>
      <c r="F136" s="26" t="n"/>
      <c r="G136" s="26" t="n"/>
      <c r="H136" s="26" t="inlineStr">
        <is>
          <t>BG BAU</t>
        </is>
      </c>
      <c r="I136" s="26" t="inlineStr">
        <is>
          <t>Quelle genannt</t>
        </is>
      </c>
      <c r="J136" s="26" t="inlineStr">
        <is>
          <t>frei</t>
        </is>
      </c>
      <c r="K136" s="26" t="n"/>
      <c r="L136" s="26" t="inlineStr">
        <is>
          <t>TRGS 559/553; BG BAU</t>
        </is>
      </c>
      <c r="M136" s="26" t="n"/>
      <c r="N136" s="26" t="inlineStr">
        <is>
          <t>plausibel</t>
        </is>
      </c>
      <c r="O136" s="27" t="inlineStr">
        <is>
          <t>umgesetzt</t>
        </is>
      </c>
      <c r="P136" s="27" t="inlineStr">
        <is>
          <t>Inhalt unverändert; Fundstelle der Durchsicht übernommen.</t>
        </is>
      </c>
    </row>
    <row r="137" ht="22.35" customHeight="1" s="17">
      <c r="A137" s="26" t="inlineStr">
        <is>
          <t>B-136</t>
        </is>
      </c>
      <c r="B137" s="26" t="inlineStr">
        <is>
          <t>Büro / Laden</t>
        </is>
      </c>
      <c r="C137" s="26" t="inlineStr">
        <is>
          <t>Unterweisungsnachweis</t>
        </is>
      </c>
      <c r="D137" s="26" t="inlineStr">
        <is>
          <t>Themen der Unterweisung</t>
        </is>
      </c>
      <c r="E137" s="26" t="inlineStr">
        <is>
          <t>Umgang mit Zahlungsmitteln und Verhalten bei Überfällen</t>
        </is>
      </c>
      <c r="F137" s="26" t="n"/>
      <c r="G137" s="26" t="n"/>
      <c r="H137" s="26" t="inlineStr">
        <is>
          <t>BGHW</t>
        </is>
      </c>
      <c r="I137" s="26" t="inlineStr">
        <is>
          <t>Quelle genannt</t>
        </is>
      </c>
      <c r="J137" s="26" t="inlineStr">
        <is>
          <t>frei</t>
        </is>
      </c>
      <c r="K137" s="26" t="n"/>
      <c r="L137" s="26" t="inlineStr">
        <is>
          <t>BGHW</t>
        </is>
      </c>
      <c r="M137" s="26" t="n"/>
      <c r="N137" s="26" t="inlineStr">
        <is>
          <t>plausibel</t>
        </is>
      </c>
      <c r="O137" s="27" t="inlineStr">
        <is>
          <t>umgesetzt</t>
        </is>
      </c>
      <c r="P137" s="27" t="inlineStr">
        <is>
          <t>Inhalt unverändert; Fundstelle der Durchsicht übernommen.</t>
        </is>
      </c>
    </row>
    <row r="138" ht="22.35" customHeight="1" s="17">
      <c r="A138" s="26" t="inlineStr">
        <is>
          <t>B-137</t>
        </is>
      </c>
      <c r="B138" s="26" t="inlineStr">
        <is>
          <t>Büro / Laden</t>
        </is>
      </c>
      <c r="C138" s="26" t="inlineStr">
        <is>
          <t>Unterweisungsnachweis</t>
        </is>
      </c>
      <c r="D138" s="26" t="inlineStr">
        <is>
          <t>Themen der Unterweisung</t>
        </is>
      </c>
      <c r="E138" s="26" t="inlineStr">
        <is>
          <t>Bildschirmarbeit: Einstellung von Tisch, Stuhl und Bildschirm</t>
        </is>
      </c>
      <c r="F138" s="26" t="n"/>
      <c r="G138" s="26" t="n"/>
      <c r="H138" s="26" t="inlineStr">
        <is>
          <t>BG ETEM</t>
        </is>
      </c>
      <c r="I138" s="26" t="inlineStr">
        <is>
          <t>Quelle genannt</t>
        </is>
      </c>
      <c r="J138" s="26" t="inlineStr">
        <is>
          <t>frei</t>
        </is>
      </c>
      <c r="K138" s="26" t="n"/>
      <c r="L138" s="26" t="inlineStr">
        <is>
          <t>ASR A6</t>
        </is>
      </c>
      <c r="M138" s="26" t="n"/>
      <c r="N138" s="26" t="inlineStr">
        <is>
          <t>plausibel</t>
        </is>
      </c>
      <c r="O138" s="27" t="inlineStr">
        <is>
          <t>umgesetzt</t>
        </is>
      </c>
      <c r="P138" s="27" t="inlineStr">
        <is>
          <t>Inhalt unverändert; Fundstelle der Durchsicht übernommen.</t>
        </is>
      </c>
    </row>
    <row r="139" ht="64.15000000000001" customHeight="1" s="17">
      <c r="A139" s="26" t="inlineStr">
        <is>
          <t>B-138</t>
        </is>
      </c>
      <c r="B139" s="26" t="inlineStr">
        <is>
          <t>Handwerk / Bau (inkl. Holz / Tischlerei)</t>
        </is>
      </c>
      <c r="C139" s="26" t="inlineStr">
        <is>
          <t>Unterweisungsnachweis</t>
        </is>
      </c>
      <c r="D139" s="26" t="inlineStr">
        <is>
          <t>Themen der Unterweisung</t>
        </is>
      </c>
      <c r="E139" s="26" t="inlineStr">
        <is>
          <t>Arbeiten an elektrischen Anlagen: die fünf Sicherheitsregeln (freischalten, gegen Wiedereinschalten sichern, Spannungsfreiheit feststellen, erden und kurzschließen, benachbarte unter Spannung stehende Teile abdecken oder abschranken)</t>
        </is>
      </c>
      <c r="F139" s="26" t="n"/>
      <c r="G139" s="26" t="n"/>
      <c r="H139" s="26" t="inlineStr">
        <is>
          <t>DIN VDE 0105-100; DGUV Vorschrift 3</t>
        </is>
      </c>
      <c r="I139" s="26" t="inlineStr">
        <is>
          <t>Quelle genannt</t>
        </is>
      </c>
      <c r="J139" s="26" t="inlineStr">
        <is>
          <t>frei</t>
        </is>
      </c>
      <c r="K139" s="26" t="n"/>
      <c r="L139" s="26" t="inlineStr">
        <is>
          <t>DIN VDE 0105-100</t>
        </is>
      </c>
      <c r="M139" s="26" t="n"/>
      <c r="N139" s="26" t="inlineStr">
        <is>
          <t>plausibel</t>
        </is>
      </c>
      <c r="O139" s="27" t="inlineStr">
        <is>
          <t>umgesetzt</t>
        </is>
      </c>
      <c r="P139" s="27" t="inlineStr">
        <is>
          <t>Inhalt unverändert; Fundstelle der Durchsicht übernommen.</t>
        </is>
      </c>
    </row>
    <row r="140" ht="22.35" customHeight="1" s="17">
      <c r="A140" s="26" t="inlineStr">
        <is>
          <t>B-139</t>
        </is>
      </c>
      <c r="B140" s="26" t="inlineStr">
        <is>
          <t>Kfz-Werkstatt</t>
        </is>
      </c>
      <c r="C140" s="26" t="inlineStr">
        <is>
          <t>Unterweisungsnachweis</t>
        </is>
      </c>
      <c r="D140" s="26" t="inlineStr">
        <is>
          <t>Themen der Unterweisung</t>
        </is>
      </c>
      <c r="E140" s="26" t="inlineStr">
        <is>
          <t>Hebebühne und Arbeitsgrube: Fahrzeuge sicher aufnehmen, Grube absichern</t>
        </is>
      </c>
      <c r="F140" s="26" t="n"/>
      <c r="G140" s="26" t="n"/>
      <c r="H140" s="26" t="inlineStr">
        <is>
          <t>DGUV Grundsatz 308-002 – fachlich zu prüfen</t>
        </is>
      </c>
      <c r="I140" s="26" t="inlineStr">
        <is>
          <t>fachlich zu prüfen</t>
        </is>
      </c>
      <c r="J140" s="26" t="inlineStr">
        <is>
          <t>frei</t>
        </is>
      </c>
      <c r="K140" s="26" t="n"/>
      <c r="L140" s="26" t="inlineStr">
        <is>
          <t>DGUV Regel 109-009</t>
        </is>
      </c>
      <c r="M140" s="26" t="n"/>
      <c r="N140" s="26" t="inlineStr">
        <is>
          <t>plausibel</t>
        </is>
      </c>
      <c r="O140" s="27" t="inlineStr">
        <is>
          <t>umgesetzt</t>
        </is>
      </c>
      <c r="P140" s="27" t="inlineStr">
        <is>
          <t>Inhalt unverändert; Fundstelle der Durchsicht übernommen; Vermerk „Nutzertest“/„fachlich zu prüfen“ entfernt.</t>
        </is>
      </c>
    </row>
    <row r="141" ht="22.35" customHeight="1" s="17">
      <c r="A141" s="26" t="inlineStr">
        <is>
          <t>B-140</t>
        </is>
      </c>
      <c r="B141" s="26" t="inlineStr">
        <is>
          <t>Kfz-Werkstatt</t>
        </is>
      </c>
      <c r="C141" s="26" t="inlineStr">
        <is>
          <t>Unterweisungsnachweis</t>
        </is>
      </c>
      <c r="D141" s="26" t="inlineStr">
        <is>
          <t>Themen der Unterweisung</t>
        </is>
      </c>
      <c r="E141" s="26" t="inlineStr">
        <is>
          <t>Abgase von Dieselmotoren: Motor in der Halle nur mit Absaugung laufen lassen</t>
        </is>
      </c>
      <c r="F141" s="26" t="n"/>
      <c r="G141" s="26" t="n"/>
      <c r="H141" s="26" t="inlineStr">
        <is>
          <t>TRGS 554</t>
        </is>
      </c>
      <c r="I141" s="26" t="inlineStr">
        <is>
          <t>Quelle genannt</t>
        </is>
      </c>
      <c r="J141" s="26" t="inlineStr">
        <is>
          <t>frei</t>
        </is>
      </c>
      <c r="K141" s="26" t="n"/>
      <c r="L141" s="26" t="inlineStr">
        <is>
          <t>TRGS 554</t>
        </is>
      </c>
      <c r="M141" s="26" t="n"/>
      <c r="N141" s="26" t="inlineStr">
        <is>
          <t>plausibel</t>
        </is>
      </c>
      <c r="O141" s="27" t="inlineStr">
        <is>
          <t>umgesetzt</t>
        </is>
      </c>
      <c r="P141" s="27" t="inlineStr">
        <is>
          <t>Inhalt unverändert; Fundstelle der Durchsicht übernommen.</t>
        </is>
      </c>
    </row>
    <row r="142" ht="32.8" customHeight="1" s="17">
      <c r="A142" s="26" t="inlineStr">
        <is>
          <t>B-141</t>
        </is>
      </c>
      <c r="B142" s="26" t="inlineStr">
        <is>
          <t>Kfz-Werkstatt</t>
        </is>
      </c>
      <c r="C142" s="26" t="inlineStr">
        <is>
          <t>Unterweisungsnachweis</t>
        </is>
      </c>
      <c r="D142" s="26" t="inlineStr">
        <is>
          <t>Themen der Unterweisung</t>
        </is>
      </c>
      <c r="E142" s="26" t="inlineStr">
        <is>
          <t>Hochvolt-Fahrzeuge: Arbeiten nur mit passender Qualifikation, Spannungsfreiheit nach Herstellervorgabe</t>
        </is>
      </c>
      <c r="F142" s="26" t="n"/>
      <c r="G142" s="26" t="n"/>
      <c r="H142" s="26" t="inlineStr">
        <is>
          <t>DGUV Information 209-093</t>
        </is>
      </c>
      <c r="I142" s="26" t="inlineStr">
        <is>
          <t>Quelle genannt</t>
        </is>
      </c>
      <c r="J142" s="26" t="inlineStr">
        <is>
          <t>frei</t>
        </is>
      </c>
      <c r="K142" s="26" t="n"/>
      <c r="L142" s="26" t="inlineStr">
        <is>
          <t>DGUV Information 209-093</t>
        </is>
      </c>
      <c r="M142" s="26" t="n"/>
      <c r="N142" s="26" t="inlineStr">
        <is>
          <t>plausibel</t>
        </is>
      </c>
      <c r="O142" s="27" t="inlineStr">
        <is>
          <t>umgesetzt</t>
        </is>
      </c>
      <c r="P142" s="27" t="inlineStr">
        <is>
          <t>Inhalt unverändert; Fundstelle der Durchsicht übernommen.</t>
        </is>
      </c>
    </row>
    <row r="143" ht="22.35" customHeight="1" s="17">
      <c r="A143" s="26" t="inlineStr">
        <is>
          <t>B-142</t>
        </is>
      </c>
      <c r="B143" s="26" t="inlineStr">
        <is>
          <t>Kfz-Werkstatt</t>
        </is>
      </c>
      <c r="C143" s="26" t="inlineStr">
        <is>
          <t>Unterweisungsnachweis</t>
        </is>
      </c>
      <c r="D143" s="26" t="inlineStr">
        <is>
          <t>Themen der Unterweisung</t>
        </is>
      </c>
      <c r="E143" s="26" t="inlineStr">
        <is>
          <t>Reifenmontage und -befüllung: Füllgerät mit Druckbegrenzung, Füllkäfig, Radheber</t>
        </is>
      </c>
      <c r="F143" s="26" t="n"/>
      <c r="G143" s="26" t="n"/>
      <c r="H143" s="26" t="inlineStr">
        <is>
          <t>fachlich zu prüfen</t>
        </is>
      </c>
      <c r="I143" s="26" t="inlineStr">
        <is>
          <t>fachlich zu prüfen</t>
        </is>
      </c>
      <c r="J143" s="26" t="inlineStr">
        <is>
          <t>frei</t>
        </is>
      </c>
      <c r="K143" s="26" t="n"/>
      <c r="L143" s="26" t="inlineStr">
        <is>
          <t>DGUV Regel 109-009</t>
        </is>
      </c>
      <c r="M143" s="26" t="n"/>
      <c r="N143" s="26" t="inlineStr">
        <is>
          <t>offen</t>
        </is>
      </c>
      <c r="O143" s="27" t="inlineStr">
        <is>
          <t>umgesetzt</t>
        </is>
      </c>
      <c r="P143" s="27" t="inlineStr">
        <is>
          <t>Inhalt unverändert; Fundstelle der Durchsicht übernommen; Vermerk „fachlich zu prüfen“ bleibt (Prüfstand offen).</t>
        </is>
      </c>
    </row>
    <row r="144" ht="32.8" customHeight="1" s="17">
      <c r="A144" s="26" t="inlineStr">
        <is>
          <t>B-143</t>
        </is>
      </c>
      <c r="B144" s="26" t="inlineStr">
        <is>
          <t>Kfz-Werkstatt</t>
        </is>
      </c>
      <c r="C144" s="26" t="inlineStr">
        <is>
          <t>Unterweisungsnachweis</t>
        </is>
      </c>
      <c r="D144" s="26" t="inlineStr">
        <is>
          <t>Themen der Unterweisung</t>
        </is>
      </c>
      <c r="E144" s="26" t="inlineStr">
        <is>
          <t>Bremsenreiniger, Kältemittel und Batteriesäure: Lüftung, Zündquellen, Schutzausrüstung</t>
        </is>
      </c>
      <c r="F144" s="26" t="n"/>
      <c r="G144" s="26" t="n"/>
      <c r="H144" s="26" t="inlineStr">
        <is>
          <t>GefStoffV – fachlich zu prüfen</t>
        </is>
      </c>
      <c r="I144" s="26" t="inlineStr">
        <is>
          <t>fachlich zu prüfen</t>
        </is>
      </c>
      <c r="J144" s="26" t="inlineStr">
        <is>
          <t>frei</t>
        </is>
      </c>
      <c r="K144" s="26" t="n"/>
      <c r="L144" s="26" t="inlineStr">
        <is>
          <t>DGUV Regel 109-009</t>
        </is>
      </c>
      <c r="M144" s="26" t="n"/>
      <c r="N144" s="26" t="inlineStr">
        <is>
          <t>plausibel</t>
        </is>
      </c>
      <c r="O144" s="27" t="inlineStr">
        <is>
          <t>umgesetzt</t>
        </is>
      </c>
      <c r="P144" s="27" t="inlineStr">
        <is>
          <t>Inhalt unverändert; Fundstelle der Durchsicht übernommen; Vermerk „Nutzertest“/„fachlich zu prüfen“ entfernt.</t>
        </is>
      </c>
    </row>
    <row r="145" ht="22.35" customHeight="1" s="17">
      <c r="A145" s="26" t="inlineStr">
        <is>
          <t>B-144</t>
        </is>
      </c>
      <c r="B145" s="26" t="inlineStr">
        <is>
          <t>Kfz-Werkstatt</t>
        </is>
      </c>
      <c r="C145" s="26" t="inlineStr">
        <is>
          <t>Unterweisungsnachweis</t>
        </is>
      </c>
      <c r="D145" s="26" t="inlineStr">
        <is>
          <t>Themen der Unterweisung</t>
        </is>
      </c>
      <c r="E145" s="26" t="inlineStr">
        <is>
          <t>Druckluft: nie auf Personen richten, Kleidung nicht abblasen</t>
        </is>
      </c>
      <c r="F145" s="26" t="n"/>
      <c r="G145" s="26" t="n"/>
      <c r="H145" s="26" t="inlineStr">
        <is>
          <t>fachlich zu prüfen</t>
        </is>
      </c>
      <c r="I145" s="26" t="inlineStr">
        <is>
          <t>fachlich zu prüfen</t>
        </is>
      </c>
      <c r="J145" s="26" t="inlineStr">
        <is>
          <t>frei</t>
        </is>
      </c>
      <c r="K145" s="26" t="n"/>
      <c r="L145" s="26" t="inlineStr">
        <is>
          <t>DGUV Regel 109-009</t>
        </is>
      </c>
      <c r="M145" s="26" t="n"/>
      <c r="N145" s="26" t="inlineStr">
        <is>
          <t>plausibel</t>
        </is>
      </c>
      <c r="O145" s="27" t="inlineStr">
        <is>
          <t>umgesetzt</t>
        </is>
      </c>
      <c r="P145" s="27" t="inlineStr">
        <is>
          <t>Inhalt unverändert; Fundstelle der Durchsicht übernommen; Vermerk „Nutzertest“/„fachlich zu prüfen“ entfernt.</t>
        </is>
      </c>
    </row>
    <row r="146" ht="32.8" customHeight="1" s="17">
      <c r="A146" s="26" t="inlineStr">
        <is>
          <t>B-145</t>
        </is>
      </c>
      <c r="B146" s="26" t="inlineStr">
        <is>
          <t>Bäckerei</t>
        </is>
      </c>
      <c r="C146" s="26" t="inlineStr">
        <is>
          <t>Unterweisungsnachweis</t>
        </is>
      </c>
      <c r="D146" s="26" t="inlineStr">
        <is>
          <t>Themen der Unterweisung</t>
        </is>
      </c>
      <c r="E146" s="26" t="inlineStr">
        <is>
          <t>Mehlstaub vermeiden: staubarm arbeiten, feucht reinigen, arbeitsmedizinische Vorsorge</t>
        </is>
      </c>
      <c r="F146" s="26" t="n"/>
      <c r="G146" s="26" t="n"/>
      <c r="H146" s="26" t="inlineStr">
        <is>
          <t>ArbMedVV; BGN – fachlich zu prüfen</t>
        </is>
      </c>
      <c r="I146" s="26" t="inlineStr">
        <is>
          <t>fachlich zu prüfen</t>
        </is>
      </c>
      <c r="J146" s="26" t="inlineStr">
        <is>
          <t>frei</t>
        </is>
      </c>
      <c r="K146" s="26" t="n"/>
      <c r="L146" s="26" t="inlineStr">
        <is>
          <t>ArbMedVV; BGN</t>
        </is>
      </c>
      <c r="M146" s="26" t="n"/>
      <c r="N146" s="26" t="inlineStr">
        <is>
          <t>bestätigt</t>
        </is>
      </c>
      <c r="O146" s="27" t="inlineStr">
        <is>
          <t>umgesetzt</t>
        </is>
      </c>
      <c r="P146" s="27" t="inlineStr">
        <is>
          <t>Inhalt unverändert; Fundstelle der Durchsicht übernommen; Vermerk „Nutzertest“/„fachlich zu prüfen“ entfernt.</t>
        </is>
      </c>
    </row>
    <row r="147" ht="32.8" customHeight="1" s="17">
      <c r="A147" s="26" t="inlineStr">
        <is>
          <t>B-146</t>
        </is>
      </c>
      <c r="B147" s="26" t="inlineStr">
        <is>
          <t>Bäckerei</t>
        </is>
      </c>
      <c r="C147" s="26" t="inlineStr">
        <is>
          <t>Unterweisungsnachweis</t>
        </is>
      </c>
      <c r="D147" s="26" t="inlineStr">
        <is>
          <t>Themen der Unterweisung</t>
        </is>
      </c>
      <c r="E147" s="26" t="inlineStr">
        <is>
          <t>Teig- und Knetmaschinen: nicht in laufende Maschinen greifen, Schutzeinrichtungen nicht überbrücken</t>
        </is>
      </c>
      <c r="F147" s="26" t="n"/>
      <c r="G147" s="26" t="n"/>
      <c r="H147" s="26" t="inlineStr">
        <is>
          <t>fachlich zu prüfen</t>
        </is>
      </c>
      <c r="I147" s="26" t="inlineStr">
        <is>
          <t>fachlich zu prüfen</t>
        </is>
      </c>
      <c r="J147" s="26" t="inlineStr">
        <is>
          <t>frei</t>
        </is>
      </c>
      <c r="K147" s="26" t="n"/>
      <c r="L147" s="26" t="inlineStr">
        <is>
          <t>§ 12 BetrSichV; BGN</t>
        </is>
      </c>
      <c r="M147" s="26" t="n"/>
      <c r="N147" s="26" t="inlineStr">
        <is>
          <t>plausibel</t>
        </is>
      </c>
      <c r="O147" s="27" t="inlineStr">
        <is>
          <t>umgesetzt</t>
        </is>
      </c>
      <c r="P147" s="27" t="inlineStr">
        <is>
          <t>Inhalt unverändert; Fundstelle der Durchsicht übernommen; Vermerk „Nutzertest“/„fachlich zu prüfen“ entfernt.</t>
        </is>
      </c>
    </row>
    <row r="148" ht="22.35" customHeight="1" s="17">
      <c r="A148" s="26" t="inlineStr">
        <is>
          <t>B-147</t>
        </is>
      </c>
      <c r="B148" s="26" t="inlineStr">
        <is>
          <t>Bäckerei</t>
        </is>
      </c>
      <c r="C148" s="26" t="inlineStr">
        <is>
          <t>Unterweisungsnachweis</t>
        </is>
      </c>
      <c r="D148" s="26" t="inlineStr">
        <is>
          <t>Themen der Unterweisung</t>
        </is>
      </c>
      <c r="E148" s="26" t="inlineStr">
        <is>
          <t>Öfen, Stikkenöfen und Gärräume: Verbrennungen, Dampf, Notöffnung</t>
        </is>
      </c>
      <c r="F148" s="26" t="n"/>
      <c r="G148" s="26" t="n"/>
      <c r="H148" s="26" t="inlineStr">
        <is>
          <t>fachlich zu prüfen</t>
        </is>
      </c>
      <c r="I148" s="26" t="inlineStr">
        <is>
          <t>fachlich zu prüfen</t>
        </is>
      </c>
      <c r="J148" s="26" t="inlineStr">
        <is>
          <t>frei</t>
        </is>
      </c>
      <c r="K148" s="26" t="n"/>
      <c r="L148" s="26" t="inlineStr">
        <is>
          <t>BGN</t>
        </is>
      </c>
      <c r="M148" s="26" t="n"/>
      <c r="N148" s="26" t="inlineStr">
        <is>
          <t>offen</t>
        </is>
      </c>
      <c r="O148" s="27" t="inlineStr">
        <is>
          <t>umgesetzt</t>
        </is>
      </c>
      <c r="P148" s="27" t="inlineStr">
        <is>
          <t>Inhalt unverändert; Fundstelle der Durchsicht übernommen; Vermerk „fachlich zu prüfen“ bleibt (Prüfstand offen).</t>
        </is>
      </c>
    </row>
    <row r="149" ht="32.8" customHeight="1" s="17">
      <c r="A149" s="26" t="inlineStr">
        <is>
          <t>B-148</t>
        </is>
      </c>
      <c r="B149" s="26" t="inlineStr">
        <is>
          <t>Bäckerei</t>
        </is>
      </c>
      <c r="C149" s="26" t="inlineStr">
        <is>
          <t>Unterweisungsnachweis</t>
        </is>
      </c>
      <c r="D149" s="26" t="inlineStr">
        <is>
          <t>Themen der Unterweisung</t>
        </is>
      </c>
      <c r="E149" s="26" t="inlineStr">
        <is>
          <t>Nachtarbeit: Untersuchung für Nachtarbeitnehmer und Ausgleich (§ 6 ArbZG)</t>
        </is>
      </c>
      <c r="F149" s="26" t="n"/>
      <c r="G149" s="26" t="n"/>
      <c r="H149" s="26" t="inlineStr">
        <is>
          <t>§ 6 ArbZG</t>
        </is>
      </c>
      <c r="I149" s="26" t="inlineStr">
        <is>
          <t>Quelle genannt</t>
        </is>
      </c>
      <c r="J149" s="26" t="inlineStr">
        <is>
          <t>frei</t>
        </is>
      </c>
      <c r="K149" s="26" t="n"/>
      <c r="L149" s="26" t="inlineStr">
        <is>
          <t>§ 6 ArbZG</t>
        </is>
      </c>
      <c r="M149" s="26" t="n"/>
      <c r="N149" s="26" t="inlineStr">
        <is>
          <t>plausibel</t>
        </is>
      </c>
      <c r="O149" s="27" t="inlineStr">
        <is>
          <t>umgesetzt</t>
        </is>
      </c>
      <c r="P149" s="27" t="inlineStr">
        <is>
          <t>Inhalt unverändert; Fundstelle der Durchsicht übernommen.</t>
        </is>
      </c>
    </row>
    <row r="150" ht="22.35" customHeight="1" s="17">
      <c r="A150" s="26" t="inlineStr">
        <is>
          <t>B-149</t>
        </is>
      </c>
      <c r="B150" s="26" t="inlineStr">
        <is>
          <t>Transport / Kurier</t>
        </is>
      </c>
      <c r="C150" s="26" t="inlineStr">
        <is>
          <t>Unterweisungsnachweis</t>
        </is>
      </c>
      <c r="D150" s="26" t="inlineStr">
        <is>
          <t>Themen der Unterweisung</t>
        </is>
      </c>
      <c r="E150" s="26" t="inlineStr">
        <is>
          <t>Fahrzeugführer: Eignung, Unterweisung, Abfahrtkontrolle und Verhalten bei Mängeln</t>
        </is>
      </c>
      <c r="F150" s="26" t="n"/>
      <c r="G150" s="26" t="n"/>
      <c r="H150" s="26" t="inlineStr">
        <is>
          <t>§ 35 DGUV Vorschrift 70 – fachlich zu prüfen</t>
        </is>
      </c>
      <c r="I150" s="26" t="inlineStr">
        <is>
          <t>fachlich zu prüfen</t>
        </is>
      </c>
      <c r="J150" s="26" t="inlineStr">
        <is>
          <t>frei</t>
        </is>
      </c>
      <c r="K150" s="26" t="n"/>
      <c r="L150" s="26" t="inlineStr">
        <is>
          <t>§ 35 DGUV V70</t>
        </is>
      </c>
      <c r="M150" s="26" t="n"/>
      <c r="N150" s="26" t="inlineStr">
        <is>
          <t>plausibel</t>
        </is>
      </c>
      <c r="O150" s="27" t="inlineStr">
        <is>
          <t>umgesetzt</t>
        </is>
      </c>
      <c r="P150" s="27" t="inlineStr">
        <is>
          <t>Inhalt unverändert; Fundstelle der Durchsicht übernommen; Vermerk „Nutzertest“/„fachlich zu prüfen“ entfernt.</t>
        </is>
      </c>
    </row>
    <row r="151" ht="22.35" customHeight="1" s="17">
      <c r="A151" s="26" t="inlineStr">
        <is>
          <t>B-150</t>
        </is>
      </c>
      <c r="B151" s="26" t="inlineStr">
        <is>
          <t>Transport / Kurier</t>
        </is>
      </c>
      <c r="C151" s="26" t="inlineStr">
        <is>
          <t>Unterweisungsnachweis</t>
        </is>
      </c>
      <c r="D151" s="26" t="inlineStr">
        <is>
          <t>Themen der Unterweisung</t>
        </is>
      </c>
      <c r="E151" s="26" t="inlineStr">
        <is>
          <t>Ladungssicherung: Ladung so sichern, dass sie bei Vollbremsung nicht verrutscht</t>
        </is>
      </c>
      <c r="F151" s="26" t="n"/>
      <c r="G151" s="26" t="n"/>
      <c r="H151" s="26" t="inlineStr">
        <is>
          <t>§ 22 StVO</t>
        </is>
      </c>
      <c r="I151" s="26" t="inlineStr">
        <is>
          <t>Quelle genannt</t>
        </is>
      </c>
      <c r="J151" s="26" t="inlineStr">
        <is>
          <t>frei</t>
        </is>
      </c>
      <c r="K151" s="26" t="n"/>
      <c r="L151" s="26" t="inlineStr">
        <is>
          <t>§ 22 StVO</t>
        </is>
      </c>
      <c r="M151" s="26" t="n"/>
      <c r="N151" s="26" t="inlineStr">
        <is>
          <t>plausibel</t>
        </is>
      </c>
      <c r="O151" s="27" t="inlineStr">
        <is>
          <t>umgesetzt</t>
        </is>
      </c>
      <c r="P151" s="27" t="inlineStr">
        <is>
          <t>Inhalt unverändert; Fundstelle der Durchsicht übernommen.</t>
        </is>
      </c>
    </row>
    <row r="152" ht="22.35" customHeight="1" s="17">
      <c r="A152" s="26" t="inlineStr">
        <is>
          <t>B-151</t>
        </is>
      </c>
      <c r="B152" s="26" t="inlineStr">
        <is>
          <t>Transport / Kurier</t>
        </is>
      </c>
      <c r="C152" s="26" t="inlineStr">
        <is>
          <t>Unterweisungsnachweis</t>
        </is>
      </c>
      <c r="D152" s="26" t="inlineStr">
        <is>
          <t>Themen der Unterweisung</t>
        </is>
      </c>
      <c r="E152" s="26" t="inlineStr">
        <is>
          <t>Heben und Tragen: Sackkarre, Treppen, schwere Sendungen zu zweit</t>
        </is>
      </c>
      <c r="F152" s="26" t="n"/>
      <c r="G152" s="26" t="n"/>
      <c r="H152" s="26" t="inlineStr">
        <is>
          <t>LasthandhabV – fachlich zu prüfen</t>
        </is>
      </c>
      <c r="I152" s="26" t="inlineStr">
        <is>
          <t>fachlich zu prüfen</t>
        </is>
      </c>
      <c r="J152" s="26" t="inlineStr">
        <is>
          <t>frei</t>
        </is>
      </c>
      <c r="K152" s="26" t="n"/>
      <c r="L152" s="26" t="inlineStr">
        <is>
          <t>LasthandhabV</t>
        </is>
      </c>
      <c r="M152" s="26" t="n"/>
      <c r="N152" s="26" t="inlineStr">
        <is>
          <t>plausibel</t>
        </is>
      </c>
      <c r="O152" s="27" t="inlineStr">
        <is>
          <t>umgesetzt</t>
        </is>
      </c>
      <c r="P152" s="27" t="inlineStr">
        <is>
          <t>Inhalt unverändert; Fundstelle der Durchsicht übernommen; Vermerk „Nutzertest“/„fachlich zu prüfen“ entfernt.</t>
        </is>
      </c>
    </row>
    <row r="153" ht="22.35" customHeight="1" s="17">
      <c r="A153" s="26" t="inlineStr">
        <is>
          <t>B-152</t>
        </is>
      </c>
      <c r="B153" s="26" t="inlineStr">
        <is>
          <t>Transport / Kurier</t>
        </is>
      </c>
      <c r="C153" s="26" t="inlineStr">
        <is>
          <t>Unterweisungsnachweis</t>
        </is>
      </c>
      <c r="D153" s="26" t="inlineStr">
        <is>
          <t>Themen der Unterweisung</t>
        </is>
      </c>
      <c r="E153" s="26" t="inlineStr">
        <is>
          <t>Lastenrad: Einweisung, Helm, Zuladung, Wartung</t>
        </is>
      </c>
      <c r="F153" s="26" t="n"/>
      <c r="G153" s="26" t="n"/>
      <c r="H153" s="26" t="inlineStr">
        <is>
          <t>fachlich zu prüfen</t>
        </is>
      </c>
      <c r="I153" s="26" t="inlineStr">
        <is>
          <t>fachlich zu prüfen</t>
        </is>
      </c>
      <c r="J153" s="26" t="inlineStr">
        <is>
          <t>frei</t>
        </is>
      </c>
      <c r="K153" s="26" t="n"/>
      <c r="L153" s="26" t="inlineStr">
        <is>
          <t>BG Verkehr</t>
        </is>
      </c>
      <c r="M153" s="26" t="n"/>
      <c r="N153" s="26" t="inlineStr">
        <is>
          <t>offen</t>
        </is>
      </c>
      <c r="O153" s="27" t="inlineStr">
        <is>
          <t>umgesetzt</t>
        </is>
      </c>
      <c r="P153" s="27" t="inlineStr">
        <is>
          <t>Inhalt unverändert; Fundstelle der Durchsicht übernommen; Vermerk „fachlich zu prüfen“ bleibt (Prüfstand offen).</t>
        </is>
      </c>
    </row>
    <row r="154" ht="22.35" customHeight="1" s="17">
      <c r="A154" s="26" t="inlineStr">
        <is>
          <t>B-153</t>
        </is>
      </c>
      <c r="B154" s="26" t="inlineStr">
        <is>
          <t>Transport / Kurier</t>
        </is>
      </c>
      <c r="C154" s="26" t="inlineStr">
        <is>
          <t>Unterweisungsnachweis</t>
        </is>
      </c>
      <c r="D154" s="26" t="inlineStr">
        <is>
          <t>Themen der Unterweisung</t>
        </is>
      </c>
      <c r="E154" s="26" t="inlineStr">
        <is>
          <t>Auf der Tour: Witterung, Hunde, Überfall – richtig verhalten</t>
        </is>
      </c>
      <c r="F154" s="26" t="n"/>
      <c r="G154" s="26" t="n"/>
      <c r="H154" s="26" t="inlineStr">
        <is>
          <t>fachlich zu prüfen</t>
        </is>
      </c>
      <c r="I154" s="26" t="inlineStr">
        <is>
          <t>fachlich zu prüfen</t>
        </is>
      </c>
      <c r="J154" s="26" t="inlineStr">
        <is>
          <t>frei</t>
        </is>
      </c>
      <c r="K154" s="26" t="n"/>
      <c r="L154" s="26" t="inlineStr">
        <is>
          <t>BG Verkehr</t>
        </is>
      </c>
      <c r="M154" s="26" t="n"/>
      <c r="N154" s="26" t="inlineStr">
        <is>
          <t>offen</t>
        </is>
      </c>
      <c r="O154" s="27" t="inlineStr">
        <is>
          <t>umgesetzt</t>
        </is>
      </c>
      <c r="P154" s="27" t="inlineStr">
        <is>
          <t>Inhalt unverändert; Fundstelle der Durchsicht übernommen; Vermerk „fachlich zu prüfen“ bleibt (Prüfstand offen).</t>
        </is>
      </c>
    </row>
    <row r="155" ht="32.8" customHeight="1" s="17">
      <c r="A155" s="26" t="inlineStr">
        <is>
          <t>B-154</t>
        </is>
      </c>
      <c r="B155" s="26" t="inlineStr">
        <is>
          <t>Praxis / Gesundheit</t>
        </is>
      </c>
      <c r="C155" s="26" t="inlineStr">
        <is>
          <t>Unterweisungsnachweis</t>
        </is>
      </c>
      <c r="D155" s="26" t="inlineStr">
        <is>
          <t>Themen der Unterweisung</t>
        </is>
      </c>
      <c r="E155" s="26" t="inlineStr">
        <is>
          <t>Biostoffe: Händehygiene, Schutzhandschuhe, Desinfektion nach Hygieneplan, Impfangebot</t>
        </is>
      </c>
      <c r="F155" s="26" t="n"/>
      <c r="G155" s="26" t="n"/>
      <c r="H155" s="26" t="inlineStr">
        <is>
          <t>BioStoffV; TRBA 250 – fachlich zu prüfen</t>
        </is>
      </c>
      <c r="I155" s="26" t="inlineStr">
        <is>
          <t>fachlich zu prüfen</t>
        </is>
      </c>
      <c r="J155" s="26" t="inlineStr">
        <is>
          <t>frei</t>
        </is>
      </c>
      <c r="K155" s="26" t="n"/>
      <c r="L155" s="26" t="inlineStr">
        <is>
          <t>BioStoffV § 14; TRBA 250</t>
        </is>
      </c>
      <c r="M155" s="26" t="n"/>
      <c r="N155" s="26" t="inlineStr">
        <is>
          <t>plausibel</t>
        </is>
      </c>
      <c r="O155" s="27" t="inlineStr">
        <is>
          <t>umgesetzt</t>
        </is>
      </c>
      <c r="P155" s="27" t="inlineStr">
        <is>
          <t>Inhalt unverändert; Fundstelle der Durchsicht übernommen; Vermerk „Nutzertest“/„fachlich zu prüfen“ entfernt.</t>
        </is>
      </c>
    </row>
    <row r="156" ht="32.8" customHeight="1" s="17">
      <c r="A156" s="26" t="inlineStr">
        <is>
          <t>B-155</t>
        </is>
      </c>
      <c r="B156" s="26" t="inlineStr">
        <is>
          <t>Praxis / Gesundheit</t>
        </is>
      </c>
      <c r="C156" s="26" t="inlineStr">
        <is>
          <t>Unterweisungsnachweis</t>
        </is>
      </c>
      <c r="D156" s="26" t="inlineStr">
        <is>
          <t>Themen der Unterweisung</t>
        </is>
      </c>
      <c r="E156" s="26" t="inlineStr">
        <is>
          <t>Stich- und Schnittverletzungen: Kanülen nicht zurückstecken, Abwurfbehälter, Vorgehen nach einer Verletzung</t>
        </is>
      </c>
      <c r="F156" s="26" t="n"/>
      <c r="G156" s="26" t="n"/>
      <c r="H156" s="26" t="inlineStr">
        <is>
          <t>§ 11 BioStoffV</t>
        </is>
      </c>
      <c r="I156" s="26" t="inlineStr">
        <is>
          <t>Quelle genannt</t>
        </is>
      </c>
      <c r="J156" s="26" t="inlineStr">
        <is>
          <t>frei</t>
        </is>
      </c>
      <c r="K156" s="26" t="n"/>
      <c r="L156" s="26" t="inlineStr">
        <is>
          <t>§ 11 BioStoffV</t>
        </is>
      </c>
      <c r="M156" s="26" t="n"/>
      <c r="N156" s="26" t="inlineStr">
        <is>
          <t>plausibel</t>
        </is>
      </c>
      <c r="O156" s="27" t="inlineStr">
        <is>
          <t>umgesetzt</t>
        </is>
      </c>
      <c r="P156" s="27" t="inlineStr">
        <is>
          <t>Inhalt unverändert; Fundstelle der Durchsicht übernommen.</t>
        </is>
      </c>
    </row>
    <row r="157" ht="32.8" customHeight="1" s="17">
      <c r="A157" s="26" t="inlineStr">
        <is>
          <t>B-156</t>
        </is>
      </c>
      <c r="B157" s="26" t="inlineStr">
        <is>
          <t>Praxis / Gesundheit</t>
        </is>
      </c>
      <c r="C157" s="26" t="inlineStr">
        <is>
          <t>Unterweisungsnachweis</t>
        </is>
      </c>
      <c r="D157" s="26" t="inlineStr">
        <is>
          <t>Themen der Unterweisung</t>
        </is>
      </c>
      <c r="E157" s="26" t="inlineStr">
        <is>
          <t>Desinfektionsmittel sicher anwenden: wischen statt sprühen, richtig dosieren, geeignete Handschuhe</t>
        </is>
      </c>
      <c r="F157" s="26" t="n"/>
      <c r="G157" s="26" t="n"/>
      <c r="H157" s="26" t="inlineStr">
        <is>
          <t>TRGS 525 – fachlich zu prüfen</t>
        </is>
      </c>
      <c r="I157" s="26" t="inlineStr">
        <is>
          <t>fachlich zu prüfen</t>
        </is>
      </c>
      <c r="J157" s="26" t="inlineStr">
        <is>
          <t>frei</t>
        </is>
      </c>
      <c r="K157" s="26" t="n"/>
      <c r="L157" s="26" t="inlineStr">
        <is>
          <t>TRGS 525</t>
        </is>
      </c>
      <c r="M157" s="26" t="n"/>
      <c r="N157" s="26" t="inlineStr">
        <is>
          <t>plausibel</t>
        </is>
      </c>
      <c r="O157" s="27" t="inlineStr">
        <is>
          <t>umgesetzt</t>
        </is>
      </c>
      <c r="P157" s="27" t="inlineStr">
        <is>
          <t>Inhalt unverändert; Fundstelle der Durchsicht übernommen; Vermerk „Nutzertest“/„fachlich zu prüfen“ entfernt.</t>
        </is>
      </c>
    </row>
    <row r="158" ht="32.8" customHeight="1" s="17">
      <c r="A158" s="26" t="inlineStr">
        <is>
          <t>B-157</t>
        </is>
      </c>
      <c r="B158" s="26" t="inlineStr">
        <is>
          <t>Alle Branchen (ohne Gruppe)</t>
        </is>
      </c>
      <c r="C158" s="26" t="inlineStr">
        <is>
          <t>Betriebsanweisung</t>
        </is>
      </c>
      <c r="D158" s="26" t="inlineStr">
        <is>
          <t>Schutzmaßnahmen und Verhaltensregeln</t>
        </is>
      </c>
      <c r="E158" s="26" t="inlineStr">
        <is>
          <t>Schutzhandschuhe bei den gekennzeichneten Tätigkeiten tragen.</t>
        </is>
      </c>
      <c r="F158" s="26" t="n"/>
      <c r="G158" s="26" t="n"/>
      <c r="H158" s="26" t="inlineStr">
        <is>
          <t>TRGS 530</t>
        </is>
      </c>
      <c r="I158" s="26" t="inlineStr">
        <is>
          <t>Quelle genannt</t>
        </is>
      </c>
      <c r="J158" s="26" t="inlineStr">
        <is>
          <t>ändern</t>
        </is>
      </c>
      <c r="K158" s="26" t="inlineStr">
        <is>
          <t>Konkret fassen: „Beim Mischen, Auftragen und Auswaschen Schutzhandschuhe (Typ/Material laut Hautschutzplan) tragen.“</t>
        </is>
      </c>
      <c r="L158" s="26" t="inlineStr">
        <is>
          <t>TRGS 530 Nr. 5.4; TRGS 555 Nr. 3.1 Abs. 9</t>
        </is>
      </c>
      <c r="M158" s="26" t="inlineStr">
        <is>
          <t>„gekennzeichnete Tätigkeiten“ ist unbestimmt; TRGS 555 verlangt klare Gebote.</t>
        </is>
      </c>
      <c r="N158" s="26" t="inlineStr">
        <is>
          <t>bestätigt</t>
        </is>
      </c>
      <c r="O158" s="27" t="inlineStr">
        <is>
          <t>umgesetzt</t>
        </is>
      </c>
      <c r="P158" s="27" t="inlineStr">
        <is>
          <t>Korrektur übernommen, Fundstelle ersetzt.</t>
        </is>
      </c>
    </row>
    <row r="159" ht="32.8" customHeight="1" s="17">
      <c r="A159" s="26" t="inlineStr">
        <is>
          <t>B-158</t>
        </is>
      </c>
      <c r="B159" s="26" t="inlineStr">
        <is>
          <t>Alle Branchen (ohne Gruppe)</t>
        </is>
      </c>
      <c r="C159" s="26" t="inlineStr">
        <is>
          <t>Betriebsanweisung</t>
        </is>
      </c>
      <c r="D159" s="26" t="inlineStr">
        <is>
          <t>Schutzmaßnahmen und Verhaltensregeln</t>
        </is>
      </c>
      <c r="E159" s="26" t="inlineStr">
        <is>
          <t>Schutzhandschuhe nur mit sauberen, trockenen Händen anziehen.</t>
        </is>
      </c>
      <c r="F159" s="26" t="n"/>
      <c r="G159" s="26" t="n"/>
      <c r="H159" s="26" t="inlineStr">
        <is>
          <t>TRGS 401 Nr. 5.5.3 Abs. 1</t>
        </is>
      </c>
      <c r="I159" s="26" t="inlineStr">
        <is>
          <t>Quelle genannt</t>
        </is>
      </c>
      <c r="J159" s="26" t="inlineStr">
        <is>
          <t>frei</t>
        </is>
      </c>
      <c r="K159" s="26" t="n"/>
      <c r="L159" s="26" t="inlineStr">
        <is>
          <t>TRGS 401 (Fundstelle 5.5.3 Abs. 1 gegenprüfen)</t>
        </is>
      </c>
      <c r="M159" s="26" t="n"/>
      <c r="N159" s="26" t="inlineStr">
        <is>
          <t>plausibel</t>
        </is>
      </c>
      <c r="O159" s="27" t="inlineStr">
        <is>
          <t>umgesetzt</t>
        </is>
      </c>
      <c r="P159" s="27" t="inlineStr">
        <is>
          <t>Inhalt unverändert; Fundstelle der Durchsicht übernommen.</t>
        </is>
      </c>
    </row>
    <row r="160" ht="32.8" customHeight="1" s="17">
      <c r="A160" s="26" t="inlineStr">
        <is>
          <t>B-159</t>
        </is>
      </c>
      <c r="B160" s="26" t="inlineStr">
        <is>
          <t>Alle Branchen (ohne Gruppe)</t>
        </is>
      </c>
      <c r="C160" s="26" t="inlineStr">
        <is>
          <t>Betriebsanweisung</t>
        </is>
      </c>
      <c r="D160" s="26" t="inlineStr">
        <is>
          <t>Schutzmaßnahmen und Verhaltensregeln</t>
        </is>
      </c>
      <c r="E160" s="26" t="inlineStr">
        <is>
          <t>Beschädigte Handschuhe sofort austauschen.</t>
        </is>
      </c>
      <c r="F160" s="26" t="n"/>
      <c r="G160" s="26" t="n"/>
      <c r="H160" s="26" t="inlineStr">
        <is>
          <t>BGW</t>
        </is>
      </c>
      <c r="I160" s="26" t="inlineStr">
        <is>
          <t>Quelle genannt</t>
        </is>
      </c>
      <c r="J160" s="26" t="inlineStr">
        <is>
          <t>frei</t>
        </is>
      </c>
      <c r="K160" s="26" t="n"/>
      <c r="L160" s="26" t="inlineStr">
        <is>
          <t>TRGS 401; BGW</t>
        </is>
      </c>
      <c r="M160" s="26" t="n"/>
      <c r="N160" s="26" t="inlineStr">
        <is>
          <t>plausibel</t>
        </is>
      </c>
      <c r="O160" s="27" t="inlineStr">
        <is>
          <t>umgesetzt</t>
        </is>
      </c>
      <c r="P160" s="27" t="inlineStr">
        <is>
          <t>Inhalt unverändert; Fundstelle der Durchsicht übernommen.</t>
        </is>
      </c>
    </row>
    <row r="161" ht="32.8" customHeight="1" s="17">
      <c r="A161" s="26" t="inlineStr">
        <is>
          <t>B-160</t>
        </is>
      </c>
      <c r="B161" s="26" t="inlineStr">
        <is>
          <t>Alle Branchen (ohne Gruppe)</t>
        </is>
      </c>
      <c r="C161" s="26" t="inlineStr">
        <is>
          <t>Betriebsanweisung</t>
        </is>
      </c>
      <c r="D161" s="26" t="inlineStr">
        <is>
          <t>Schutzmaßnahmen und Verhaltensregeln</t>
        </is>
      </c>
      <c r="E161" s="26" t="inlineStr">
        <is>
          <t>Chemikalienschutzhandschuhe regelmäßig, spätestens arbeitstäglich wechseln; maximale Tragedauer beachten.</t>
        </is>
      </c>
      <c r="F161" s="26" t="n"/>
      <c r="G161" s="26" t="n"/>
      <c r="H161" s="26" t="inlineStr">
        <is>
          <t>TRGS 401 Nr. 5.5.3 Abs. 4</t>
        </is>
      </c>
      <c r="I161" s="26" t="inlineStr">
        <is>
          <t>Quelle genannt</t>
        </is>
      </c>
      <c r="J161" s="26" t="inlineStr">
        <is>
          <t>ändern</t>
        </is>
      </c>
      <c r="K161" s="26" t="inlineStr">
        <is>
          <t>„Einmalhandschuhe nach jedem Gebrauch entsorgen; wiederverwendbare Chemikalienschutzhandschuhe nach Herstellerangabe (Tragedauer/Permeationszeit) wechseln.“</t>
        </is>
      </c>
      <c r="L161" s="26" t="inlineStr">
        <is>
          <t>TRGS 401; TRGS 530 Nr. 5.4 Abs. 3</t>
        </is>
      </c>
      <c r="M161" s="26" t="inlineStr">
        <is>
          <t>„spätestens arbeitstäglich“ an TRGS 401 Nr. 5.5.3 Abs. 4 nicht bestätigt; Einmalhandschuhe nach TRGS 530 nicht wiederverwenden.</t>
        </is>
      </c>
      <c r="N161" s="26" t="inlineStr">
        <is>
          <t>plausibel</t>
        </is>
      </c>
      <c r="O161" s="27" t="inlineStr">
        <is>
          <t>umgesetzt</t>
        </is>
      </c>
      <c r="P161" s="27" t="inlineStr">
        <is>
          <t>Korrektur übernommen, Fundstelle ersetzt.</t>
        </is>
      </c>
    </row>
    <row r="162" ht="32.8" customHeight="1" s="17">
      <c r="A162" s="26" t="inlineStr">
        <is>
          <t>B-161</t>
        </is>
      </c>
      <c r="B162" s="26" t="inlineStr">
        <is>
          <t>Alle Branchen (ohne Gruppe)</t>
        </is>
      </c>
      <c r="C162" s="26" t="inlineStr">
        <is>
          <t>Betriebsanweisung</t>
        </is>
      </c>
      <c r="D162" s="26" t="inlineStr">
        <is>
          <t>Schutzmaßnahmen und Verhaltensregeln</t>
        </is>
      </c>
      <c r="E162" s="26" t="inlineStr">
        <is>
          <t>Bei ätzenden Stoffen Schutzbrille tragen.</t>
        </is>
      </c>
      <c r="F162" s="26" t="n"/>
      <c r="G162" s="26" t="n"/>
      <c r="H162" s="26" t="inlineStr">
        <is>
          <t>BGW 04-05-080, S. 21–22</t>
        </is>
      </c>
      <c r="I162" s="26" t="inlineStr">
        <is>
          <t>Quelle genannt</t>
        </is>
      </c>
      <c r="J162" s="26" t="inlineStr">
        <is>
          <t>frei</t>
        </is>
      </c>
      <c r="K162" s="26" t="n"/>
      <c r="L162" s="26" t="inlineStr">
        <is>
          <t>BGW 04-05-080; TRGS 555</t>
        </is>
      </c>
      <c r="M162" s="26" t="n"/>
      <c r="N162" s="26" t="inlineStr">
        <is>
          <t>plausibel</t>
        </is>
      </c>
      <c r="O162" s="27" t="inlineStr">
        <is>
          <t>umgesetzt</t>
        </is>
      </c>
      <c r="P162" s="27" t="inlineStr">
        <is>
          <t>Inhalt unverändert; Fundstelle der Durchsicht übernommen.</t>
        </is>
      </c>
    </row>
    <row r="163" ht="32.8" customHeight="1" s="17">
      <c r="A163" s="26" t="inlineStr">
        <is>
          <t>B-162</t>
        </is>
      </c>
      <c r="B163" s="26" t="inlineStr">
        <is>
          <t>Alle Branchen (ohne Gruppe)</t>
        </is>
      </c>
      <c r="C163" s="26" t="inlineStr">
        <is>
          <t>Betriebsanweisung</t>
        </is>
      </c>
      <c r="D163" s="26" t="inlineStr">
        <is>
          <t>Schutzmaßnahmen und Verhaltensregeln</t>
        </is>
      </c>
      <c r="E163" s="26" t="inlineStr">
        <is>
          <t>Produkte nur nach Herstellerangaben anwenden; Konzentrate genau nach Anleitung dosieren.</t>
        </is>
      </c>
      <c r="F163" s="26" t="n"/>
      <c r="G163" s="26" t="n"/>
      <c r="H163" s="26" t="inlineStr">
        <is>
          <t>BGW</t>
        </is>
      </c>
      <c r="I163" s="26" t="inlineStr">
        <is>
          <t>Quelle genannt</t>
        </is>
      </c>
      <c r="J163" s="26" t="inlineStr">
        <is>
          <t>frei</t>
        </is>
      </c>
      <c r="K163" s="26" t="n"/>
      <c r="L163" s="26" t="inlineStr">
        <is>
          <t>BGW</t>
        </is>
      </c>
      <c r="M163" s="26" t="n"/>
      <c r="N163" s="26" t="inlineStr">
        <is>
          <t>plausibel</t>
        </is>
      </c>
      <c r="O163" s="27" t="inlineStr">
        <is>
          <t>umgesetzt</t>
        </is>
      </c>
      <c r="P163" s="27" t="inlineStr">
        <is>
          <t>Inhalt unverändert; Fundstelle der Durchsicht übernommen.</t>
        </is>
      </c>
    </row>
    <row r="164" ht="32.8" customHeight="1" s="17">
      <c r="A164" s="26" t="inlineStr">
        <is>
          <t>B-163</t>
        </is>
      </c>
      <c r="B164" s="26" t="inlineStr">
        <is>
          <t>Alle Branchen (ohne Gruppe)</t>
        </is>
      </c>
      <c r="C164" s="26" t="inlineStr">
        <is>
          <t>Betriebsanweisung</t>
        </is>
      </c>
      <c r="D164" s="26" t="inlineStr">
        <is>
          <t>Schutzmaßnahmen und Verhaltensregeln</t>
        </is>
      </c>
      <c r="E164" s="26" t="inlineStr">
        <is>
          <t>Desinfektion im Wischverfahren durchführen; nicht sprühen oder vernebeln.</t>
        </is>
      </c>
      <c r="F164" s="26" t="n"/>
      <c r="G164" s="26" t="n"/>
      <c r="H164" s="26" t="inlineStr">
        <is>
          <t>BGW</t>
        </is>
      </c>
      <c r="I164" s="26" t="inlineStr">
        <is>
          <t>Quelle genannt</t>
        </is>
      </c>
      <c r="J164" s="26" t="inlineStr">
        <is>
          <t>frei</t>
        </is>
      </c>
      <c r="K164" s="26" t="n"/>
      <c r="L164" s="26" t="inlineStr">
        <is>
          <t>TRGS 525 / BGW</t>
        </is>
      </c>
      <c r="M164" s="26" t="n"/>
      <c r="N164" s="26" t="inlineStr">
        <is>
          <t>plausibel</t>
        </is>
      </c>
      <c r="O164" s="27" t="inlineStr">
        <is>
          <t>umgesetzt</t>
        </is>
      </c>
      <c r="P164" s="27" t="inlineStr">
        <is>
          <t>Inhalt unverändert; Fundstelle der Durchsicht übernommen.</t>
        </is>
      </c>
    </row>
    <row r="165" ht="32.8" customHeight="1" s="17">
      <c r="A165" s="26" t="inlineStr">
        <is>
          <t>B-164</t>
        </is>
      </c>
      <c r="B165" s="26" t="inlineStr">
        <is>
          <t>Alle Branchen (ohne Gruppe)</t>
        </is>
      </c>
      <c r="C165" s="26" t="inlineStr">
        <is>
          <t>Betriebsanweisung</t>
        </is>
      </c>
      <c r="D165" s="26" t="inlineStr">
        <is>
          <t>Schutzmaßnahmen und Verhaltensregeln</t>
        </is>
      </c>
      <c r="E165" s="26" t="inlineStr">
        <is>
          <t>Für ausreichende Lüftung sorgen; Sprühnebel, Stäube und Dämpfe nicht einatmen.</t>
        </is>
      </c>
      <c r="F165" s="26" t="n"/>
      <c r="G165" s="26" t="n"/>
      <c r="H165" s="26" t="inlineStr">
        <is>
          <t>TRGS 530</t>
        </is>
      </c>
      <c r="I165" s="26" t="inlineStr">
        <is>
          <t>Quelle genannt</t>
        </is>
      </c>
      <c r="J165" s="26" t="inlineStr">
        <is>
          <t>ändern</t>
        </is>
      </c>
      <c r="K165" s="26" t="inlineStr">
        <is>
          <t>„Lüftung (Fenster/Abluft) während der Anwendung eingeschaltet lassen; Sprühnebel, Stäube und Dämpfe nicht einatmen.“</t>
        </is>
      </c>
      <c r="L165" s="26" t="inlineStr">
        <is>
          <t>TRGS 530 Nr. 5.2; TRGS 555 Nr. 3.1 Abs. 9</t>
        </is>
      </c>
      <c r="M165" s="26" t="inlineStr">
        <is>
          <t>TRGS 555 Nr. 3.1 Abs. 9: unbestimmte Begriffe wie „ausreichend“ vermeiden.</t>
        </is>
      </c>
      <c r="N165" s="26" t="inlineStr">
        <is>
          <t>bestätigt</t>
        </is>
      </c>
      <c r="O165" s="27" t="inlineStr">
        <is>
          <t>umgesetzt</t>
        </is>
      </c>
      <c r="P165" s="27" t="inlineStr">
        <is>
          <t>Korrektur übernommen, Fundstelle ersetzt.</t>
        </is>
      </c>
    </row>
    <row r="166" ht="32.8" customHeight="1" s="17">
      <c r="A166" s="26" t="inlineStr">
        <is>
          <t>B-165</t>
        </is>
      </c>
      <c r="B166" s="26" t="inlineStr">
        <is>
          <t>Alle Branchen (ohne Gruppe)</t>
        </is>
      </c>
      <c r="C166" s="26" t="inlineStr">
        <is>
          <t>Betriebsanweisung</t>
        </is>
      </c>
      <c r="D166" s="26" t="inlineStr">
        <is>
          <t>Schutzmaßnahmen und Verhaltensregeln</t>
        </is>
      </c>
      <c r="E166" s="26" t="inlineStr">
        <is>
          <t>Am Arbeitsplatz nicht essen, trinken oder rauchen.</t>
        </is>
      </c>
      <c r="F166" s="26" t="n"/>
      <c r="G166" s="26" t="n"/>
      <c r="H166" s="26" t="inlineStr">
        <is>
          <t>TRGS 530</t>
        </is>
      </c>
      <c r="I166" s="26" t="inlineStr">
        <is>
          <t>Quelle genannt</t>
        </is>
      </c>
      <c r="J166" s="26" t="inlineStr">
        <is>
          <t>frei</t>
        </is>
      </c>
      <c r="K166" s="26" t="n"/>
      <c r="L166" s="26" t="inlineStr">
        <is>
          <t>TRGS 500 / TRGS 530</t>
        </is>
      </c>
      <c r="M166" s="26" t="n"/>
      <c r="N166" s="26" t="inlineStr">
        <is>
          <t>plausibel</t>
        </is>
      </c>
      <c r="O166" s="27" t="inlineStr">
        <is>
          <t>umgesetzt</t>
        </is>
      </c>
      <c r="P166" s="27" t="inlineStr">
        <is>
          <t>Inhalt unverändert; Fundstelle der Durchsicht übernommen.</t>
        </is>
      </c>
    </row>
    <row r="167" ht="43.25" customHeight="1" s="17">
      <c r="A167" s="26" t="inlineStr">
        <is>
          <t>B-166</t>
        </is>
      </c>
      <c r="B167" s="26" t="inlineStr">
        <is>
          <t>Alle Branchen (ohne Gruppe)</t>
        </is>
      </c>
      <c r="C167" s="26" t="inlineStr">
        <is>
          <t>Betriebsanweisung</t>
        </is>
      </c>
      <c r="D167" s="26" t="inlineStr">
        <is>
          <t>Schutzmaßnahmen und Verhaltensregeln</t>
        </is>
      </c>
      <c r="E167" s="26" t="inlineStr">
        <is>
          <t>Gefahrstoffe möglichst in Originalbehältern aufbewahren; abgefüllte Stoffe korrekt beschriften; niemals in Lebensmittel- oder Getränkebehälter abfüllen.</t>
        </is>
      </c>
      <c r="F167" s="26" t="n"/>
      <c r="G167" s="26" t="n"/>
      <c r="H167" s="26" t="inlineStr">
        <is>
          <t>BGW</t>
        </is>
      </c>
      <c r="I167" s="26" t="inlineStr">
        <is>
          <t>Quelle genannt</t>
        </is>
      </c>
      <c r="J167" s="26" t="inlineStr">
        <is>
          <t>frei</t>
        </is>
      </c>
      <c r="K167" s="26" t="n"/>
      <c r="L167" s="26" t="inlineStr">
        <is>
          <t>TRGS 510; § 8 GefStoffV</t>
        </is>
      </c>
      <c r="M167" s="26" t="n"/>
      <c r="N167" s="26" t="inlineStr">
        <is>
          <t>plausibel</t>
        </is>
      </c>
      <c r="O167" s="27" t="inlineStr">
        <is>
          <t>umgesetzt</t>
        </is>
      </c>
      <c r="P167" s="27" t="inlineStr">
        <is>
          <t>Inhalt unverändert; Fundstelle der Durchsicht übernommen.</t>
        </is>
      </c>
    </row>
    <row r="168" ht="32.8" customHeight="1" s="17">
      <c r="A168" s="26" t="inlineStr">
        <is>
          <t>B-167</t>
        </is>
      </c>
      <c r="B168" s="26" t="inlineStr">
        <is>
          <t>Alle Branchen (ohne Gruppe)</t>
        </is>
      </c>
      <c r="C168" s="26" t="inlineStr">
        <is>
          <t>Betriebsanweisung</t>
        </is>
      </c>
      <c r="D168" s="26" t="inlineStr">
        <is>
          <t>Schutzmaßnahmen und Verhaltensregeln</t>
        </is>
      </c>
      <c r="E168" s="26" t="inlineStr">
        <is>
          <t>Gefahrstoffe getrennt von Lebensmitteln und nicht über Augenhöhe lagern.</t>
        </is>
      </c>
      <c r="F168" s="26" t="n"/>
      <c r="G168" s="26" t="n"/>
      <c r="H168" s="26" t="inlineStr">
        <is>
          <t>BGW</t>
        </is>
      </c>
      <c r="I168" s="26" t="inlineStr">
        <is>
          <t>Quelle genannt</t>
        </is>
      </c>
      <c r="J168" s="26" t="inlineStr">
        <is>
          <t>frei</t>
        </is>
      </c>
      <c r="K168" s="26" t="inlineStr">
        <is>
          <t>Quelle präzisieren.</t>
        </is>
      </c>
      <c r="L168" s="26" t="inlineStr">
        <is>
          <t>TRGS 510</t>
        </is>
      </c>
      <c r="M168" s="26" t="n"/>
      <c r="N168" s="26" t="inlineStr">
        <is>
          <t>plausibel</t>
        </is>
      </c>
      <c r="O168" s="27" t="inlineStr">
        <is>
          <t>umgesetzt</t>
        </is>
      </c>
      <c r="P168" s="27" t="inlineStr">
        <is>
          <t>Inhalt unverändert; Fundstelle der Durchsicht übernommen. Hinweis „Quelle präzisieren.“ berücksichtigt.</t>
        </is>
      </c>
    </row>
    <row r="169" ht="32.8" customHeight="1" s="17">
      <c r="A169" s="26" t="inlineStr">
        <is>
          <t>B-168</t>
        </is>
      </c>
      <c r="B169" s="26" t="inlineStr">
        <is>
          <t>Alle Branchen (ohne Gruppe)</t>
        </is>
      </c>
      <c r="C169" s="26" t="inlineStr">
        <is>
          <t>Betriebsanweisung</t>
        </is>
      </c>
      <c r="D169" s="26" t="inlineStr">
        <is>
          <t>Schutzmaßnahmen und Verhaltensregeln</t>
        </is>
      </c>
      <c r="E169" s="26" t="inlineStr">
        <is>
          <t>Am Arbeitsplatz höchstens den Tagesbedarf an entzündbaren Flüssigkeiten bereithalten.</t>
        </is>
      </c>
      <c r="F169" s="26" t="n"/>
      <c r="G169" s="26" t="n"/>
      <c r="H169" s="26" t="inlineStr">
        <is>
          <t>BGW</t>
        </is>
      </c>
      <c r="I169" s="26" t="inlineStr">
        <is>
          <t>Quelle genannt</t>
        </is>
      </c>
      <c r="J169" s="26" t="inlineStr">
        <is>
          <t>frei</t>
        </is>
      </c>
      <c r="K169" s="26" t="n"/>
      <c r="L169" s="26" t="inlineStr">
        <is>
          <t>TRGS 510</t>
        </is>
      </c>
      <c r="M169" s="26" t="n"/>
      <c r="N169" s="26" t="inlineStr">
        <is>
          <t>plausibel</t>
        </is>
      </c>
      <c r="O169" s="27" t="inlineStr">
        <is>
          <t>umgesetzt</t>
        </is>
      </c>
      <c r="P169" s="27" t="inlineStr">
        <is>
          <t>Inhalt unverändert; Fundstelle der Durchsicht übernommen.</t>
        </is>
      </c>
    </row>
    <row r="170" ht="32.8" customHeight="1" s="17">
      <c r="A170" s="26" t="inlineStr">
        <is>
          <t>B-169</t>
        </is>
      </c>
      <c r="B170" s="26" t="inlineStr">
        <is>
          <t>Alle Branchen (ohne Gruppe)</t>
        </is>
      </c>
      <c r="C170" s="26" t="inlineStr">
        <is>
          <t>Betriebsanweisung</t>
        </is>
      </c>
      <c r="D170" s="26" t="inlineStr">
        <is>
          <t>Schutzmaßnahmen und Verhaltensregeln</t>
        </is>
      </c>
      <c r="E170" s="26" t="inlineStr">
        <is>
          <t>Verunreinigte oder mit Chemikalien getränkte Kleidung sofort ablegen und vor dem erneuten Tragen waschen.</t>
        </is>
      </c>
      <c r="F170" s="26" t="n"/>
      <c r="G170" s="26" t="n"/>
      <c r="H170" s="26" t="inlineStr">
        <is>
          <t>TRGS 530</t>
        </is>
      </c>
      <c r="I170" s="26" t="inlineStr">
        <is>
          <t>Quelle genannt</t>
        </is>
      </c>
      <c r="J170" s="26" t="inlineStr">
        <is>
          <t>frei</t>
        </is>
      </c>
      <c r="K170" s="26" t="n"/>
      <c r="L170" s="26" t="inlineStr">
        <is>
          <t>TRGS 530</t>
        </is>
      </c>
      <c r="M170" s="26" t="n"/>
      <c r="N170" s="26" t="inlineStr">
        <is>
          <t>plausibel</t>
        </is>
      </c>
      <c r="O170" s="27" t="inlineStr">
        <is>
          <t>umgesetzt</t>
        </is>
      </c>
      <c r="P170" s="27" t="inlineStr">
        <is>
          <t>Inhalt unverändert; Fundstelle der Durchsicht übernommen.</t>
        </is>
      </c>
    </row>
    <row r="171" ht="32.8" customHeight="1" s="17">
      <c r="A171" s="26" t="inlineStr">
        <is>
          <t>B-170</t>
        </is>
      </c>
      <c r="B171" s="26" t="inlineStr">
        <is>
          <t>Alle Branchen (ohne Gruppe)</t>
        </is>
      </c>
      <c r="C171" s="26" t="inlineStr">
        <is>
          <t>Betriebsanweisung</t>
        </is>
      </c>
      <c r="D171" s="26" t="inlineStr">
        <is>
          <t>Schutzmaßnahmen und Verhaltensregeln</t>
        </is>
      </c>
      <c r="E171" s="26" t="inlineStr">
        <is>
          <t>Arm- und Handschmuck bei der Arbeit ablegen.</t>
        </is>
      </c>
      <c r="F171" s="26" t="n"/>
      <c r="G171" s="26" t="n"/>
      <c r="H171" s="26" t="inlineStr">
        <is>
          <t>TRGS 530 Nr. 5.1 Abs. 3</t>
        </is>
      </c>
      <c r="I171" s="26" t="inlineStr">
        <is>
          <t>Quelle genannt</t>
        </is>
      </c>
      <c r="J171" s="26" t="inlineStr">
        <is>
          <t>frei</t>
        </is>
      </c>
      <c r="K171" s="26" t="n"/>
      <c r="L171" s="26" t="inlineStr">
        <is>
          <t>TRGS 530 Nr. 5.1 Abs. 3</t>
        </is>
      </c>
      <c r="M171" s="26" t="inlineStr">
        <is>
          <t>Wortlaut bestätigt.</t>
        </is>
      </c>
      <c r="N171" s="26" t="inlineStr">
        <is>
          <t>bestätigt</t>
        </is>
      </c>
      <c r="O171" s="27" t="inlineStr">
        <is>
          <t>umgesetzt</t>
        </is>
      </c>
      <c r="P171" s="27" t="inlineStr">
        <is>
          <t>Inhalt unverändert; Fundstelle der Durchsicht übernommen.</t>
        </is>
      </c>
    </row>
    <row r="172" ht="43.25" customHeight="1" s="17">
      <c r="A172" s="26" t="inlineStr">
        <is>
          <t>B-171</t>
        </is>
      </c>
      <c r="B172" s="26" t="inlineStr">
        <is>
          <t>Alle Branchen (ohne Gruppe)</t>
        </is>
      </c>
      <c r="C172" s="26" t="inlineStr">
        <is>
          <t>Betriebsanweisung</t>
        </is>
      </c>
      <c r="D172" s="26" t="inlineStr">
        <is>
          <t>Schutzmaßnahmen und Verhaltensregeln</t>
        </is>
      </c>
      <c r="E172" s="26" t="inlineStr">
        <is>
          <t>Hautschutzplan beachten.</t>
        </is>
      </c>
      <c r="F172" s="26" t="n"/>
      <c r="G172" s="26" t="n"/>
      <c r="H172" s="26" t="inlineStr">
        <is>
          <t>TRGS 401 Nr. 5.5.1 Abs. 6 (Verweis der Betriebsanweisung auf Hand- und Hautschutzplan)</t>
        </is>
      </c>
      <c r="I172" s="26" t="inlineStr">
        <is>
          <t>Quelle genannt</t>
        </is>
      </c>
      <c r="J172" s="26" t="inlineStr">
        <is>
          <t>frei</t>
        </is>
      </c>
      <c r="K172" s="26" t="n"/>
      <c r="L172" s="26" t="inlineStr">
        <is>
          <t>TRGS 401</t>
        </is>
      </c>
      <c r="M172" s="26" t="n"/>
      <c r="N172" s="26" t="inlineStr">
        <is>
          <t>plausibel</t>
        </is>
      </c>
      <c r="O172" s="27" t="inlineStr">
        <is>
          <t>umgesetzt</t>
        </is>
      </c>
      <c r="P172" s="27" t="inlineStr">
        <is>
          <t>Inhalt unverändert; Fundstelle der Durchsicht übernommen.</t>
        </is>
      </c>
    </row>
    <row r="173" ht="22.35" customHeight="1" s="17">
      <c r="A173" s="26" t="inlineStr">
        <is>
          <t>B-172</t>
        </is>
      </c>
      <c r="B173" s="26" t="inlineStr">
        <is>
          <t>Alle Branchen (ohne Gruppe)</t>
        </is>
      </c>
      <c r="C173" s="26" t="inlineStr">
        <is>
          <t>Betriebsanweisung</t>
        </is>
      </c>
      <c r="D173" s="26" t="inlineStr">
        <is>
          <t>Verhalten im Gefahrfall</t>
        </is>
      </c>
      <c r="E173" s="26" t="inlineStr">
        <is>
          <t>Verschüttete Substanz sofort mit Schutzhandschuhen aufnehmen.</t>
        </is>
      </c>
      <c r="F173" s="26" t="n"/>
      <c r="G173" s="26" t="n"/>
      <c r="H173" s="26" t="inlineStr">
        <is>
          <t>TRGS 530</t>
        </is>
      </c>
      <c r="I173" s="26" t="inlineStr">
        <is>
          <t>Quelle genannt</t>
        </is>
      </c>
      <c r="J173" s="26" t="inlineStr">
        <is>
          <t>frei</t>
        </is>
      </c>
      <c r="K173" s="26" t="n"/>
      <c r="L173" s="26" t="inlineStr">
        <is>
          <t>TRGS 530</t>
        </is>
      </c>
      <c r="M173" s="26" t="n"/>
      <c r="N173" s="26" t="inlineStr">
        <is>
          <t>plausibel</t>
        </is>
      </c>
      <c r="O173" s="27" t="inlineStr">
        <is>
          <t>umgesetzt</t>
        </is>
      </c>
      <c r="P173" s="27" t="inlineStr">
        <is>
          <t>Inhalt unverändert; Fundstelle der Durchsicht übernommen.</t>
        </is>
      </c>
    </row>
    <row r="174" ht="22.35" customHeight="1" s="17">
      <c r="A174" s="26" t="inlineStr">
        <is>
          <t>B-173</t>
        </is>
      </c>
      <c r="B174" s="26" t="inlineStr">
        <is>
          <t>Alle Branchen (ohne Gruppe)</t>
        </is>
      </c>
      <c r="C174" s="26" t="inlineStr">
        <is>
          <t>Betriebsanweisung</t>
        </is>
      </c>
      <c r="D174" s="26" t="inlineStr">
        <is>
          <t>Verhalten im Gefahrfall</t>
        </is>
      </c>
      <c r="E174" s="26" t="inlineStr">
        <is>
          <t>Verunreinigungen und Behälterrückstände sofort beseitigen; Bindemittel bereithalten.</t>
        </is>
      </c>
      <c r="F174" s="26" t="n"/>
      <c r="G174" s="26" t="n"/>
      <c r="H174" s="26" t="inlineStr">
        <is>
          <t>BGW</t>
        </is>
      </c>
      <c r="I174" s="26" t="inlineStr">
        <is>
          <t>Quelle genannt</t>
        </is>
      </c>
      <c r="J174" s="26" t="inlineStr">
        <is>
          <t>frei</t>
        </is>
      </c>
      <c r="K174" s="26" t="n"/>
      <c r="L174" s="26" t="inlineStr">
        <is>
          <t>BGW</t>
        </is>
      </c>
      <c r="M174" s="26" t="n"/>
      <c r="N174" s="26" t="inlineStr">
        <is>
          <t>plausibel</t>
        </is>
      </c>
      <c r="O174" s="27" t="inlineStr">
        <is>
          <t>umgesetzt</t>
        </is>
      </c>
      <c r="P174" s="27" t="inlineStr">
        <is>
          <t>Inhalt unverändert; Fundstelle der Durchsicht übernommen.</t>
        </is>
      </c>
    </row>
    <row r="175" ht="22.35" customHeight="1" s="17">
      <c r="A175" s="26" t="inlineStr">
        <is>
          <t>B-174</t>
        </is>
      </c>
      <c r="B175" s="26" t="inlineStr">
        <is>
          <t>Alle Branchen (ohne Gruppe)</t>
        </is>
      </c>
      <c r="C175" s="26" t="inlineStr">
        <is>
          <t>Betriebsanweisung</t>
        </is>
      </c>
      <c r="D175" s="26" t="inlineStr">
        <is>
          <t>Erste Hilfe</t>
        </is>
      </c>
      <c r="E175" s="26" t="inlineStr">
        <is>
          <t>Nach Augenkontakt: mit viel Wasser spülen und ärztlichen Rat einholen.</t>
        </is>
      </c>
      <c r="F175" s="26" t="n"/>
      <c r="G175" s="26" t="n"/>
      <c r="H175" s="26" t="inlineStr">
        <is>
          <t>TRGS 530</t>
        </is>
      </c>
      <c r="I175" s="26" t="inlineStr">
        <is>
          <t>Quelle genannt</t>
        </is>
      </c>
      <c r="J175" s="26" t="inlineStr">
        <is>
          <t>ändern</t>
        </is>
      </c>
      <c r="K175" s="26" t="inlineStr">
        <is>
          <t>„Augen sofort bei geöffnetem Lidspalt mindestens 10 Minuten mit Wasser spülen (Augenspülflasche), dann Augenarzt.“</t>
        </is>
      </c>
      <c r="L175" s="26" t="inlineStr">
        <is>
          <t>TRGS 555 Nr. 3.2.7; Sicherheitsdatenblatt Abschnitt 4</t>
        </is>
      </c>
      <c r="M175" s="26" t="inlineStr">
        <is>
          <t>„mit viel Wasser“ ist unbestimmt.</t>
        </is>
      </c>
      <c r="N175" s="26" t="inlineStr">
        <is>
          <t>plausibel</t>
        </is>
      </c>
      <c r="O175" s="27" t="inlineStr">
        <is>
          <t>umgesetzt</t>
        </is>
      </c>
      <c r="P175" s="27" t="inlineStr">
        <is>
          <t>Korrektur übernommen, Fundstelle ersetzt.</t>
        </is>
      </c>
    </row>
    <row r="176" ht="22.35" customHeight="1" s="17">
      <c r="A176" s="26" t="inlineStr">
        <is>
          <t>B-175</t>
        </is>
      </c>
      <c r="B176" s="26" t="inlineStr">
        <is>
          <t>Alle Branchen (ohne Gruppe)</t>
        </is>
      </c>
      <c r="C176" s="26" t="inlineStr">
        <is>
          <t>Betriebsanweisung</t>
        </is>
      </c>
      <c r="D176" s="26" t="inlineStr">
        <is>
          <t>Erste Hilfe</t>
        </is>
      </c>
      <c r="E176" s="26" t="inlineStr">
        <is>
          <t>Nach Hautkontakt: mit viel Wasser spülen; bei Beschwerden ärztlichen Rat einholen.</t>
        </is>
      </c>
      <c r="F176" s="26" t="n"/>
      <c r="G176" s="26" t="n"/>
      <c r="H176" s="26" t="inlineStr">
        <is>
          <t>TRGS 530</t>
        </is>
      </c>
      <c r="I176" s="26" t="inlineStr">
        <is>
          <t>Quelle genannt</t>
        </is>
      </c>
      <c r="J176" s="26" t="inlineStr">
        <is>
          <t>frei</t>
        </is>
      </c>
      <c r="K176" s="26" t="n"/>
      <c r="L176" s="26" t="inlineStr">
        <is>
          <t>TRGS 555 Nr. 3.2.7</t>
        </is>
      </c>
      <c r="M176" s="26" t="n"/>
      <c r="N176" s="26" t="inlineStr">
        <is>
          <t>plausibel</t>
        </is>
      </c>
      <c r="O176" s="27" t="inlineStr">
        <is>
          <t>umgesetzt</t>
        </is>
      </c>
      <c r="P176" s="27" t="inlineStr">
        <is>
          <t>Inhalt unverändert; Fundstelle der Durchsicht übernommen.</t>
        </is>
      </c>
    </row>
    <row r="177" ht="22.35" customHeight="1" s="17">
      <c r="A177" s="26" t="inlineStr">
        <is>
          <t>B-176</t>
        </is>
      </c>
      <c r="B177" s="26" t="inlineStr">
        <is>
          <t>Alle Branchen (ohne Gruppe)</t>
        </is>
      </c>
      <c r="C177" s="26" t="inlineStr">
        <is>
          <t>Betriebsanweisung</t>
        </is>
      </c>
      <c r="D177" s="26" t="inlineStr">
        <is>
          <t>Erste Hilfe</t>
        </is>
      </c>
      <c r="E177" s="26" t="inlineStr">
        <is>
          <t>Nach Einatmen: bei Beschwerden ärztlichen Rat einholen.</t>
        </is>
      </c>
      <c r="F177" s="26" t="n"/>
      <c r="G177" s="26" t="n"/>
      <c r="H177" s="26" t="inlineStr">
        <is>
          <t>TRGS 530</t>
        </is>
      </c>
      <c r="I177" s="26" t="inlineStr">
        <is>
          <t>Quelle genannt</t>
        </is>
      </c>
      <c r="J177" s="26" t="inlineStr">
        <is>
          <t>ändern</t>
        </is>
      </c>
      <c r="K177" s="26" t="inlineStr">
        <is>
          <t>„Nach Einatmen: an die frische Luft; bei Beschwerden Arzt.“</t>
        </is>
      </c>
      <c r="L177" s="26" t="inlineStr">
        <is>
          <t>TRGS 555 Nr. 3.2.7</t>
        </is>
      </c>
      <c r="M177" s="26" t="inlineStr">
        <is>
          <t>Sofortmaßnahme fehlt.</t>
        </is>
      </c>
      <c r="N177" s="26" t="inlineStr">
        <is>
          <t>plausibel</t>
        </is>
      </c>
      <c r="O177" s="27" t="inlineStr">
        <is>
          <t>umgesetzt</t>
        </is>
      </c>
      <c r="P177" s="27" t="inlineStr">
        <is>
          <t>Korrektur übernommen, Fundstelle ersetzt.</t>
        </is>
      </c>
    </row>
    <row r="178" ht="22.35" customHeight="1" s="17">
      <c r="A178" s="26" t="inlineStr">
        <is>
          <t>B-177</t>
        </is>
      </c>
      <c r="B178" s="26" t="inlineStr">
        <is>
          <t>Alle Branchen (ohne Gruppe)</t>
        </is>
      </c>
      <c r="C178" s="26" t="inlineStr">
        <is>
          <t>Betriebsanweisung</t>
        </is>
      </c>
      <c r="D178" s="26" t="inlineStr">
        <is>
          <t>Erste Hilfe</t>
        </is>
      </c>
      <c r="E178" s="26" t="inlineStr">
        <is>
          <t>Nach Verschlucken: ärztlichen Rat einholen.</t>
        </is>
      </c>
      <c r="F178" s="26" t="n"/>
      <c r="G178" s="26" t="n"/>
      <c r="H178" s="26" t="inlineStr">
        <is>
          <t>TRGS 530</t>
        </is>
      </c>
      <c r="I178" s="26" t="inlineStr">
        <is>
          <t>Quelle genannt</t>
        </is>
      </c>
      <c r="J178" s="26" t="inlineStr">
        <is>
          <t>ändern</t>
        </is>
      </c>
      <c r="K178" s="26" t="inlineStr">
        <is>
          <t>„Nach Verschlucken: Mund ausspülen, kein Erbrechen herbeiführen, sofort Arzt / Giftnotruf.“</t>
        </is>
      </c>
      <c r="L178" s="26" t="inlineStr">
        <is>
          <t>TRGS 555 Nr. 3.2.7 (was zu unterlassen ist)</t>
        </is>
      </c>
      <c r="M178" s="26" t="inlineStr">
        <is>
          <t>TRGS 555 verlangt auch, was zu unterlassen ist.</t>
        </is>
      </c>
      <c r="N178" s="26" t="inlineStr">
        <is>
          <t>plausibel</t>
        </is>
      </c>
      <c r="O178" s="27" t="inlineStr">
        <is>
          <t>umgesetzt</t>
        </is>
      </c>
      <c r="P178" s="27" t="inlineStr">
        <is>
          <t>Korrektur übernommen, Fundstelle ersetzt.</t>
        </is>
      </c>
    </row>
    <row r="179" ht="32.8" customHeight="1" s="17">
      <c r="A179" s="26" t="inlineStr">
        <is>
          <t>B-178</t>
        </is>
      </c>
      <c r="B179" s="26" t="inlineStr">
        <is>
          <t>Alle Branchen (ohne Gruppe)</t>
        </is>
      </c>
      <c r="C179" s="26" t="inlineStr">
        <is>
          <t>Betriebsanweisung</t>
        </is>
      </c>
      <c r="D179" s="26" t="inlineStr">
        <is>
          <t>Erste Hilfe</t>
        </is>
      </c>
      <c r="E179" s="26" t="inlineStr">
        <is>
          <t>Zum Arzt Gebrauchsanweisung oder Packung bzw. Behältnis des Produkts mitnehmen.</t>
        </is>
      </c>
      <c r="F179" s="26" t="n"/>
      <c r="G179" s="26" t="n"/>
      <c r="H179" s="26" t="inlineStr">
        <is>
          <t>TRGS 530</t>
        </is>
      </c>
      <c r="I179" s="26" t="inlineStr">
        <is>
          <t>Quelle genannt</t>
        </is>
      </c>
      <c r="J179" s="26" t="inlineStr">
        <is>
          <t>frei</t>
        </is>
      </c>
      <c r="K179" s="26" t="n"/>
      <c r="L179" s="26" t="inlineStr">
        <is>
          <t>TRGS 555</t>
        </is>
      </c>
      <c r="M179" s="26" t="n"/>
      <c r="N179" s="26" t="inlineStr">
        <is>
          <t>plausibel</t>
        </is>
      </c>
      <c r="O179" s="27" t="inlineStr">
        <is>
          <t>umgesetzt</t>
        </is>
      </c>
      <c r="P179" s="27" t="inlineStr">
        <is>
          <t>Inhalt unverändert; Fundstelle der Durchsicht übernommen.</t>
        </is>
      </c>
    </row>
    <row r="180" ht="22.35" customHeight="1" s="17">
      <c r="A180" s="26" t="inlineStr">
        <is>
          <t>B-179</t>
        </is>
      </c>
      <c r="B180" s="26" t="inlineStr">
        <is>
          <t>Alle Branchen (ohne Gruppe)</t>
        </is>
      </c>
      <c r="C180" s="26" t="inlineStr">
        <is>
          <t>Betriebsanweisung</t>
        </is>
      </c>
      <c r="D180" s="26" t="inlineStr">
        <is>
          <t>Sachgerechte Entsorgung</t>
        </is>
      </c>
      <c r="E180" s="26" t="inlineStr">
        <is>
          <t>Abfälle nur über die im Betrieb festgelegten Entsorgungswege entsorgen.</t>
        </is>
      </c>
      <c r="F180" s="26" t="n"/>
      <c r="G180" s="26" t="n"/>
      <c r="H180" s="26" t="inlineStr">
        <is>
          <t>BGW</t>
        </is>
      </c>
      <c r="I180" s="26" t="inlineStr">
        <is>
          <t>Quelle genannt</t>
        </is>
      </c>
      <c r="J180" s="26" t="inlineStr">
        <is>
          <t>frei</t>
        </is>
      </c>
      <c r="K180" s="26" t="n"/>
      <c r="L180" s="26" t="inlineStr">
        <is>
          <t>TRGS 555 Nr. 3.2.8</t>
        </is>
      </c>
      <c r="M180" s="26" t="n"/>
      <c r="N180" s="26" t="inlineStr">
        <is>
          <t>plausibel</t>
        </is>
      </c>
      <c r="O180" s="27" t="inlineStr">
        <is>
          <t>umgesetzt</t>
        </is>
      </c>
      <c r="P180" s="27" t="inlineStr">
        <is>
          <t>Inhalt unverändert; Fundstelle der Durchsicht übernommen.</t>
        </is>
      </c>
    </row>
    <row r="181" ht="43.25" customHeight="1" s="17">
      <c r="A181" s="26" t="inlineStr">
        <is>
          <t>B-180</t>
        </is>
      </c>
      <c r="B181" s="26" t="inlineStr">
        <is>
          <t>Alle Branchen (ohne Gruppe)</t>
        </is>
      </c>
      <c r="C181" s="26" t="inlineStr">
        <is>
          <t>Betriebsanweisung</t>
        </is>
      </c>
      <c r="D181" s="26" t="inlineStr">
        <is>
          <t>Sachgerechte Entsorgung</t>
        </is>
      </c>
      <c r="E181" s="26" t="inlineStr">
        <is>
          <t>Restentleerte Spraydosen sicher entsorgen; auch geleerte Behälter entzündbarer Flüssigkeiten können Brand- und Explosionsgefahr verursachen.</t>
        </is>
      </c>
      <c r="F181" s="26" t="n"/>
      <c r="G181" s="26" t="n"/>
      <c r="H181" s="26" t="inlineStr">
        <is>
          <t>TRGS 530</t>
        </is>
      </c>
      <c r="I181" s="26" t="inlineStr">
        <is>
          <t>Quelle genannt</t>
        </is>
      </c>
      <c r="J181" s="26" t="inlineStr">
        <is>
          <t>frei</t>
        </is>
      </c>
      <c r="K181" s="26" t="n"/>
      <c r="L181" s="26" t="inlineStr">
        <is>
          <t>TRGS 530</t>
        </is>
      </c>
      <c r="M181" s="26" t="n"/>
      <c r="N181" s="26" t="inlineStr">
        <is>
          <t>plausibel</t>
        </is>
      </c>
      <c r="O181" s="27" t="inlineStr">
        <is>
          <t>umgesetzt</t>
        </is>
      </c>
      <c r="P181" s="27" t="inlineStr">
        <is>
          <t>Inhalt unverändert; Fundstelle der Durchsicht übernommen.</t>
        </is>
      </c>
    </row>
    <row r="182" ht="22.35" customHeight="1" s="17">
      <c r="A182" s="26" t="inlineStr">
        <is>
          <t>B-181</t>
        </is>
      </c>
      <c r="B182" s="26" t="inlineStr">
        <is>
          <t>Alle Branchen (ohne Gruppe)</t>
        </is>
      </c>
      <c r="C182" s="26" t="inlineStr">
        <is>
          <t>Betriebsanweisung</t>
        </is>
      </c>
      <c r="D182" s="26" t="inlineStr">
        <is>
          <t>Sachgerechte Entsorgung</t>
        </is>
      </c>
      <c r="E182" s="26" t="inlineStr">
        <is>
          <t>Nicht mehr benötigte Produkte fachgerecht entsorgen.</t>
        </is>
      </c>
      <c r="F182" s="26" t="n"/>
      <c r="G182" s="26" t="n"/>
      <c r="H182" s="26" t="inlineStr">
        <is>
          <t>BGHW</t>
        </is>
      </c>
      <c r="I182" s="26" t="inlineStr">
        <is>
          <t>Quelle genannt</t>
        </is>
      </c>
      <c r="J182" s="26" t="inlineStr">
        <is>
          <t>frei</t>
        </is>
      </c>
      <c r="K182" s="26" t="n"/>
      <c r="L182" s="26" t="inlineStr">
        <is>
          <t>TRGS 555 Nr. 3.2.8</t>
        </is>
      </c>
      <c r="M182" s="26" t="n"/>
      <c r="N182" s="26" t="inlineStr">
        <is>
          <t>plausibel</t>
        </is>
      </c>
      <c r="O182" s="27" t="inlineStr">
        <is>
          <t>umgesetzt</t>
        </is>
      </c>
      <c r="P182" s="27" t="inlineStr">
        <is>
          <t>Inhalt unverändert; Fundstelle der Durchsicht übernommen.</t>
        </is>
      </c>
    </row>
    <row r="183" ht="32.8" customHeight="1" s="17">
      <c r="A183" s="26" t="inlineStr">
        <is>
          <t>B-182</t>
        </is>
      </c>
      <c r="B183" s="26" t="inlineStr">
        <is>
          <t>Alle Branchen (ohne Gruppe)</t>
        </is>
      </c>
      <c r="C183" s="26" t="inlineStr">
        <is>
          <t>Prüfprotokoll elektrische Geräte (DGUV V3)</t>
        </is>
      </c>
      <c r="D183" s="26" t="inlineStr">
        <is>
          <t>Umfang der Prüfung</t>
        </is>
      </c>
      <c r="E183" s="26" t="inlineStr">
        <is>
          <t>Sichtprüfung</t>
        </is>
      </c>
      <c r="F183" s="26" t="n"/>
      <c r="G183" s="26" t="n"/>
      <c r="H183" s="26" t="n"/>
      <c r="I183" s="26" t="inlineStr">
        <is>
          <t>ohne Quelle</t>
        </is>
      </c>
      <c r="J183" s="26" t="inlineStr">
        <is>
          <t>frei</t>
        </is>
      </c>
      <c r="K183" s="26" t="n"/>
      <c r="L183" s="26" t="inlineStr">
        <is>
          <t>DIN EN 50678 / 50699 Abschn. Sichtprüfung</t>
        </is>
      </c>
      <c r="M183" s="26" t="n"/>
      <c r="N183" s="26" t="inlineStr">
        <is>
          <t>plausibel</t>
        </is>
      </c>
      <c r="O183" s="27" t="inlineStr">
        <is>
          <t>umgesetzt</t>
        </is>
      </c>
      <c r="P183" s="27" t="inlineStr">
        <is>
          <t>Inhalt unverändert; Fundstelle der Durchsicht übernommen.</t>
        </is>
      </c>
    </row>
    <row r="184" ht="32.8" customHeight="1" s="17">
      <c r="A184" s="26" t="inlineStr">
        <is>
          <t>B-183</t>
        </is>
      </c>
      <c r="B184" s="26" t="inlineStr">
        <is>
          <t>Alle Branchen (ohne Gruppe)</t>
        </is>
      </c>
      <c r="C184" s="26" t="inlineStr">
        <is>
          <t>Prüfprotokoll elektrische Geräte (DGUV V3)</t>
        </is>
      </c>
      <c r="D184" s="26" t="inlineStr">
        <is>
          <t>Umfang der Prüfung</t>
        </is>
      </c>
      <c r="E184" s="26" t="inlineStr">
        <is>
          <t>Messung des Schutzleiterwiderstands</t>
        </is>
      </c>
      <c r="F184" s="26" t="n"/>
      <c r="G184" s="26" t="n"/>
      <c r="H184" s="26" t="n"/>
      <c r="I184" s="26" t="inlineStr">
        <is>
          <t>ohne Quelle</t>
        </is>
      </c>
      <c r="J184" s="26" t="inlineStr">
        <is>
          <t>frei</t>
        </is>
      </c>
      <c r="K184" s="26" t="n"/>
      <c r="L184" s="26" t="inlineStr">
        <is>
          <t>DIN EN 50678 / 50699</t>
        </is>
      </c>
      <c r="M184" s="26" t="n"/>
      <c r="N184" s="26" t="inlineStr">
        <is>
          <t>plausibel</t>
        </is>
      </c>
      <c r="O184" s="27" t="inlineStr">
        <is>
          <t>umgesetzt</t>
        </is>
      </c>
      <c r="P184" s="27" t="inlineStr">
        <is>
          <t>Inhalt unverändert; Fundstelle der Durchsicht übernommen.</t>
        </is>
      </c>
    </row>
    <row r="185" ht="32.8" customHeight="1" s="17">
      <c r="A185" s="26" t="inlineStr">
        <is>
          <t>B-184</t>
        </is>
      </c>
      <c r="B185" s="26" t="inlineStr">
        <is>
          <t>Alle Branchen (ohne Gruppe)</t>
        </is>
      </c>
      <c r="C185" s="26" t="inlineStr">
        <is>
          <t>Prüfprotokoll elektrische Geräte (DGUV V3)</t>
        </is>
      </c>
      <c r="D185" s="26" t="inlineStr">
        <is>
          <t>Umfang der Prüfung</t>
        </is>
      </c>
      <c r="E185" s="26" t="inlineStr">
        <is>
          <t>Messung des Isolationswiderstands</t>
        </is>
      </c>
      <c r="F185" s="26" t="n"/>
      <c r="G185" s="26" t="n"/>
      <c r="H185" s="26" t="n"/>
      <c r="I185" s="26" t="inlineStr">
        <is>
          <t>ohne Quelle</t>
        </is>
      </c>
      <c r="J185" s="26" t="inlineStr">
        <is>
          <t>frei</t>
        </is>
      </c>
      <c r="K185" s="26" t="n"/>
      <c r="L185" s="26" t="inlineStr">
        <is>
          <t>DIN EN 50678 / 50699</t>
        </is>
      </c>
      <c r="M185" s="26" t="n"/>
      <c r="N185" s="26" t="inlineStr">
        <is>
          <t>plausibel</t>
        </is>
      </c>
      <c r="O185" s="27" t="inlineStr">
        <is>
          <t>umgesetzt</t>
        </is>
      </c>
      <c r="P185" s="27" t="inlineStr">
        <is>
          <t>Inhalt unverändert; Fundstelle der Durchsicht übernommen.</t>
        </is>
      </c>
    </row>
    <row r="186" ht="32.8" customHeight="1" s="17">
      <c r="A186" s="26" t="inlineStr">
        <is>
          <t>B-185</t>
        </is>
      </c>
      <c r="B186" s="26" t="inlineStr">
        <is>
          <t>Alle Branchen (ohne Gruppe)</t>
        </is>
      </c>
      <c r="C186" s="26" t="inlineStr">
        <is>
          <t>Prüfprotokoll elektrische Geräte (DGUV V3)</t>
        </is>
      </c>
      <c r="D186" s="26" t="inlineStr">
        <is>
          <t>Umfang der Prüfung</t>
        </is>
      </c>
      <c r="E186" s="26" t="inlineStr">
        <is>
          <t>Messung des Schutzleiter- bzw. Berührungsstroms</t>
        </is>
      </c>
      <c r="F186" s="26" t="n"/>
      <c r="G186" s="26" t="n"/>
      <c r="H186" s="26" t="n"/>
      <c r="I186" s="26" t="inlineStr">
        <is>
          <t>ohne Quelle</t>
        </is>
      </c>
      <c r="J186" s="26" t="inlineStr">
        <is>
          <t>frei</t>
        </is>
      </c>
      <c r="K186" s="26" t="n"/>
      <c r="L186" s="26" t="inlineStr">
        <is>
          <t>DIN EN 50678 / 50699</t>
        </is>
      </c>
      <c r="M186" s="26" t="n"/>
      <c r="N186" s="26" t="inlineStr">
        <is>
          <t>plausibel</t>
        </is>
      </c>
      <c r="O186" s="27" t="inlineStr">
        <is>
          <t>umgesetzt</t>
        </is>
      </c>
      <c r="P186" s="27" t="inlineStr">
        <is>
          <t>Inhalt unverändert; Fundstelle der Durchsicht übernommen.</t>
        </is>
      </c>
    </row>
    <row r="187" ht="32.8" customHeight="1" s="17">
      <c r="A187" s="26" t="inlineStr">
        <is>
          <t>B-186</t>
        </is>
      </c>
      <c r="B187" s="26" t="inlineStr">
        <is>
          <t>Alle Branchen (ohne Gruppe)</t>
        </is>
      </c>
      <c r="C187" s="26" t="inlineStr">
        <is>
          <t>Prüfprotokoll elektrische Geräte (DGUV V3)</t>
        </is>
      </c>
      <c r="D187" s="26" t="inlineStr">
        <is>
          <t>Umfang der Prüfung</t>
        </is>
      </c>
      <c r="E187" s="26" t="inlineStr">
        <is>
          <t>Funktionsprüfung</t>
        </is>
      </c>
      <c r="F187" s="26" t="n"/>
      <c r="G187" s="26" t="n"/>
      <c r="H187" s="26" t="n"/>
      <c r="I187" s="26" t="inlineStr">
        <is>
          <t>ohne Quelle</t>
        </is>
      </c>
      <c r="J187" s="26" t="inlineStr">
        <is>
          <t>frei</t>
        </is>
      </c>
      <c r="K187" s="26" t="n"/>
      <c r="L187" s="26" t="inlineStr">
        <is>
          <t>DIN EN 50678 / 50699</t>
        </is>
      </c>
      <c r="M187" s="26" t="n"/>
      <c r="N187" s="26" t="inlineStr">
        <is>
          <t>plausibel</t>
        </is>
      </c>
      <c r="O187" s="27" t="inlineStr">
        <is>
          <t>umgesetzt</t>
        </is>
      </c>
      <c r="P187" s="27" t="inlineStr">
        <is>
          <t>Inhalt unverändert; Fundstelle der Durchsicht übernommen.</t>
        </is>
      </c>
    </row>
    <row r="188" ht="32.8" customHeight="1" s="17">
      <c r="A188" s="26" t="inlineStr">
        <is>
          <t>B-187</t>
        </is>
      </c>
      <c r="B188" s="26" t="inlineStr">
        <is>
          <t>Alle Branchen (ohne Gruppe)</t>
        </is>
      </c>
      <c r="C188" s="26" t="inlineStr">
        <is>
          <t>Prüfprotokoll elektrische Geräte (DGUV V3)</t>
        </is>
      </c>
      <c r="D188" s="26" t="inlineStr">
        <is>
          <t>Prüfgrundlage</t>
        </is>
      </c>
      <c r="E188" s="26" t="inlineStr">
        <is>
          <t>DIN EN 50678 (VDE 0701) / DIN EN 50699 (VDE 0702)</t>
        </is>
      </c>
      <c r="F188" s="26" t="n"/>
      <c r="G188" s="26" t="n"/>
      <c r="H188" s="26" t="n"/>
      <c r="I188" s="26" t="inlineStr">
        <is>
          <t>ohne Quellenfeld (Fundstelle im Text)</t>
        </is>
      </c>
      <c r="J188" s="26" t="inlineStr">
        <is>
          <t>ändern</t>
        </is>
      </c>
      <c r="K188" s="26" t="inlineStr">
        <is>
          <t>Ausgabestände nennen: „DIN EN 50678 (VDE 0701):2021-02 (nach Instandsetzung) / DIN EN 50699 (VDE 0702):2021-06 (Wiederholungsprüfung)“</t>
        </is>
      </c>
      <c r="L188" s="26" t="inlineStr">
        <is>
          <t>Normen selbst</t>
        </is>
      </c>
      <c r="M188" s="26" t="inlineStr">
        <is>
          <t>Zuordnung Instandsetzung vs. Wiederholungsprüfung für Laien wichtig; Elektrofachkraft bestätigen lassen.</t>
        </is>
      </c>
      <c r="N188" s="26" t="inlineStr">
        <is>
          <t>plausibel</t>
        </is>
      </c>
      <c r="O188" s="27" t="inlineStr">
        <is>
          <t>umgesetzt</t>
        </is>
      </c>
      <c r="P188" s="27" t="inlineStr">
        <is>
          <t>Ausgabestände und Zuordnung übernommen; Bestätigung durch eine Elektrofachkraft steht aus (PRUEFLISTE T-151).</t>
        </is>
      </c>
    </row>
    <row r="189" ht="74.59999999999999" customHeight="1" s="17">
      <c r="A189" s="26" t="inlineStr">
        <is>
          <t>B-188</t>
        </is>
      </c>
      <c r="B189" s="26" t="inlineStr">
        <is>
          <t>Alle Branchen (ohne Gruppe)</t>
        </is>
      </c>
      <c r="C189" s="26" t="inlineStr">
        <is>
          <t>Prüfprotokoll elektrische Geräte (DGUV V3)</t>
        </is>
      </c>
      <c r="D189" s="26" t="inlineStr">
        <is>
          <t>Einsatzbedingungen (Richtwert für die Prüffrist)</t>
        </is>
      </c>
      <c r="E189" s="26" t="inlineStr">
        <is>
          <t>Ortsveränderliche elektrische Betriebsmittel (soweit benutzt), Verlängerungs- und Geräteanschlussleitungen mit Steckvorrichtungen, Anschlussleitungen mit Stecker, bewegliche Leitungen mit Stecker und Festanschluss – allgemein: Richtwert 6 Monate</t>
        </is>
      </c>
      <c r="F189" s="26" t="n"/>
      <c r="G189" s="26" t="inlineStr">
        <is>
          <t>6 Monate</t>
        </is>
      </c>
      <c r="H189" s="26" t="inlineStr">
        <is>
          <t>DGUV Vorschrift 3, Durchführungsanweisung zu § 5, Tabelle 1B</t>
        </is>
      </c>
      <c r="I189" s="26" t="inlineStr">
        <is>
          <t>Quelle genannt</t>
        </is>
      </c>
      <c r="J189" s="26" t="inlineStr">
        <is>
          <t>frei</t>
        </is>
      </c>
      <c r="K189" s="26" t="n"/>
      <c r="L189" s="26" t="inlineStr">
        <is>
          <t>DGUV V3, DA zu § 5, Tab. 1B</t>
        </is>
      </c>
      <c r="M189" s="26" t="n"/>
      <c r="N189" s="26" t="inlineStr">
        <is>
          <t>plausibel</t>
        </is>
      </c>
      <c r="O189" s="27" t="inlineStr">
        <is>
          <t>umgesetzt</t>
        </is>
      </c>
      <c r="P189" s="27" t="inlineStr">
        <is>
          <t>Inhalt unverändert; Fundstelle der Durchsicht übernommen.</t>
        </is>
      </c>
    </row>
    <row r="190" ht="32.8" customHeight="1" s="17">
      <c r="A190" s="26" t="inlineStr">
        <is>
          <t>B-189</t>
        </is>
      </c>
      <c r="B190" s="26" t="inlineStr">
        <is>
          <t>Alle Branchen (ohne Gruppe)</t>
        </is>
      </c>
      <c r="C190" s="26" t="inlineStr">
        <is>
          <t>Prüfprotokoll elektrische Geräte (DGUV V3)</t>
        </is>
      </c>
      <c r="D190" s="26" t="inlineStr">
        <is>
          <t>Einsatzbedingungen (Richtwert für die Prüffrist)</t>
        </is>
      </c>
      <c r="E190" s="26" t="inlineStr">
        <is>
          <t>Baustellen: Richtwert 3 Monate, höchstens 1 Jahr bei Fehlerquote unter 2 %</t>
        </is>
      </c>
      <c r="F190" s="26" t="n"/>
      <c r="G190" s="26" t="inlineStr">
        <is>
          <t>3 Monate; höchstens 1 Jahr; unter 2 %</t>
        </is>
      </c>
      <c r="H190" s="26" t="inlineStr">
        <is>
          <t>DGUV Vorschrift 3, Durchführungsanweisung zu § 5, Tabelle 1B</t>
        </is>
      </c>
      <c r="I190" s="26" t="inlineStr">
        <is>
          <t>Quelle genannt</t>
        </is>
      </c>
      <c r="J190" s="26" t="inlineStr">
        <is>
          <t>frei</t>
        </is>
      </c>
      <c r="K190" s="26" t="n"/>
      <c r="L190" s="26" t="inlineStr">
        <is>
          <t>DGUV V3, DA zu § 5, Tab. 1B</t>
        </is>
      </c>
      <c r="M190" s="26" t="n"/>
      <c r="N190" s="26" t="inlineStr">
        <is>
          <t>plausibel</t>
        </is>
      </c>
      <c r="O190" s="27" t="inlineStr">
        <is>
          <t>umgesetzt</t>
        </is>
      </c>
      <c r="P190" s="27" t="inlineStr">
        <is>
          <t>Inhalt unverändert; Fundstelle der Durchsicht übernommen.</t>
        </is>
      </c>
    </row>
    <row r="191" ht="32.8" customHeight="1" s="17">
      <c r="A191" s="26" t="inlineStr">
        <is>
          <t>B-190</t>
        </is>
      </c>
      <c r="B191" s="26" t="inlineStr">
        <is>
          <t>Alle Branchen (ohne Gruppe)</t>
        </is>
      </c>
      <c r="C191" s="26" t="inlineStr">
        <is>
          <t>Prüfprotokoll elektrische Geräte (DGUV V3)</t>
        </is>
      </c>
      <c r="D191" s="26" t="inlineStr">
        <is>
          <t>Einsatzbedingungen (Richtwert für die Prüffrist)</t>
        </is>
      </c>
      <c r="E191" s="26" t="inlineStr">
        <is>
          <t>Fertigungsstätten, Werkstätten oder unter ähnlichen Bedingungen: Richtwert 6 Monate, höchstens 1 Jahr bei Fehlerquote unter 2 %</t>
        </is>
      </c>
      <c r="F191" s="26" t="n"/>
      <c r="G191" s="26" t="inlineStr">
        <is>
          <t>6 Monate; höchstens 1 Jahr; unter 2 %</t>
        </is>
      </c>
      <c r="H191" s="26" t="inlineStr">
        <is>
          <t>DGUV Vorschrift 3, Durchführungsanweisung zu § 5, Tabelle 1B</t>
        </is>
      </c>
      <c r="I191" s="26" t="inlineStr">
        <is>
          <t>Quelle genannt</t>
        </is>
      </c>
      <c r="J191" s="26" t="inlineStr">
        <is>
          <t>frei</t>
        </is>
      </c>
      <c r="K191" s="26" t="n"/>
      <c r="L191" s="26" t="inlineStr">
        <is>
          <t>DGUV V3, DA zu § 5, Tab. 1B</t>
        </is>
      </c>
      <c r="M191" s="26" t="n"/>
      <c r="N191" s="26" t="inlineStr">
        <is>
          <t>plausibel</t>
        </is>
      </c>
      <c r="O191" s="27" t="inlineStr">
        <is>
          <t>umgesetzt</t>
        </is>
      </c>
      <c r="P191" s="27" t="inlineStr">
        <is>
          <t>Inhalt unverändert; Fundstelle der Durchsicht übernommen.</t>
        </is>
      </c>
    </row>
    <row r="192" ht="43.25" customHeight="1" s="17">
      <c r="A192" s="26" t="inlineStr">
        <is>
          <t>B-191</t>
        </is>
      </c>
      <c r="B192" s="26" t="inlineStr">
        <is>
          <t>Alle Branchen (ohne Gruppe)</t>
        </is>
      </c>
      <c r="C192" s="26" t="inlineStr">
        <is>
          <t>Prüfprotokoll elektrische Geräte (DGUV V3)</t>
        </is>
      </c>
      <c r="D192" s="26" t="inlineStr">
        <is>
          <t>Einsatzbedingungen (Richtwert für die Prüffrist)</t>
        </is>
      </c>
      <c r="E192" s="26" t="inlineStr">
        <is>
          <t>Büros oder unter ähnlichen Bedingungen: Richtwert 6 Monate, höchstens 2 Jahre bei Fehlerquote unter 2 %</t>
        </is>
      </c>
      <c r="F192" s="26" t="n"/>
      <c r="G192" s="26" t="inlineStr">
        <is>
          <t>6 Monate; höchstens 2 Jahre; unter 2 %</t>
        </is>
      </c>
      <c r="H192" s="26" t="inlineStr">
        <is>
          <t>DGUV Vorschrift 3, Durchführungsanweisung zu § 5, Tabelle 1B</t>
        </is>
      </c>
      <c r="I192" s="26" t="inlineStr">
        <is>
          <t>Quelle genannt</t>
        </is>
      </c>
      <c r="J192" s="26" t="inlineStr">
        <is>
          <t>frei</t>
        </is>
      </c>
      <c r="K192" s="26" t="n"/>
      <c r="L192" s="26" t="inlineStr">
        <is>
          <t>DGUV V3, DA zu § 5, Tab. 1B</t>
        </is>
      </c>
      <c r="M192" s="26" t="n"/>
      <c r="N192" s="26" t="inlineStr">
        <is>
          <t>plausibel</t>
        </is>
      </c>
      <c r="O192" s="27" t="inlineStr">
        <is>
          <t>umgesetzt</t>
        </is>
      </c>
      <c r="P192" s="27" t="inlineStr">
        <is>
          <t>Inhalt unverändert; Fundstelle der Durchsicht übernommen.</t>
        </is>
      </c>
    </row>
    <row r="193" ht="74.59999999999999" customHeight="1" s="17">
      <c r="A193" s="26" t="inlineStr">
        <is>
          <t>B-192</t>
        </is>
      </c>
      <c r="B193" s="26" t="inlineStr">
        <is>
          <t>Friseur</t>
        </is>
      </c>
      <c r="C193" s="26" t="inlineStr">
        <is>
          <t>Hautschutzplan</t>
        </is>
      </c>
      <c r="D193" s="26" t="inlineStr">
        <is>
          <t>Tätigkeiten</t>
        </is>
      </c>
      <c r="E193" s="26" t="inlineStr">
        <is>
          <t>Shampoonieren, Kopfmassage mit Haarbehandlungsmitteln, Pflegemittel auftragen/auswaschen</t>
        </is>
      </c>
      <c r="F193" s="26" t="inlineStr">
        <is>
          <t>Hautschutz: Hände mit Hautschutzpräparat eincremen Handschuhe: Einmalhandschuhe aus Nitril oder Vinyl mit langen Stulpen über das Handgelenk (alternativ Waschhandschuhe) Reinigung: Hände nur bei Verschmutzung waschen, ggf. mit pH-hautneutralem Reinigungsmittel; gut abtrocknen Pflege: Nach dem Waschen, vor Pausen und nach Arbeitsende Hände mit Hautpflegepräparat eincremen</t>
        </is>
      </c>
      <c r="G193" s="26" t="n"/>
      <c r="H193" s="26" t="inlineStr">
        <is>
          <t>TRGS 530 / BGW</t>
        </is>
      </c>
      <c r="I193" s="26" t="inlineStr">
        <is>
          <t>Quelle genannt</t>
        </is>
      </c>
      <c r="J193" s="26" t="inlineStr">
        <is>
          <t>ändern</t>
        </is>
      </c>
      <c r="K193" s="26" t="inlineStr">
        <is>
          <t>Hautschutz vor dem Handschuh nur mit Präparat, das laut Hersteller handschuhverträglich ist; sonst Hautschutz in Phasen ohne Handschuh.</t>
        </is>
      </c>
      <c r="L193" s="26" t="inlineStr">
        <is>
          <t>TRGS 401; TRGS 530</t>
        </is>
      </c>
      <c r="M193" s="26" t="inlineStr">
        <is>
          <t>Hautschutzmittel kann Handschuhmaterial beeinträchtigen.</t>
        </is>
      </c>
      <c r="N193" s="26" t="inlineStr">
        <is>
          <t>plausibel</t>
        </is>
      </c>
      <c r="O193" s="27" t="inlineStr">
        <is>
          <t>umgesetzt</t>
        </is>
      </c>
      <c r="P193" s="27" t="inlineStr">
        <is>
          <t>Korrektur übernommen, Fundstelle ersetzt.</t>
        </is>
      </c>
    </row>
    <row r="194" ht="74.59999999999999" customHeight="1" s="17">
      <c r="A194" s="26" t="inlineStr">
        <is>
          <t>B-193</t>
        </is>
      </c>
      <c r="B194" s="26" t="inlineStr">
        <is>
          <t>Friseur</t>
        </is>
      </c>
      <c r="C194" s="26" t="inlineStr">
        <is>
          <t>Hautschutzplan</t>
        </is>
      </c>
      <c r="D194" s="26" t="inlineStr">
        <is>
          <t>Tätigkeiten</t>
        </is>
      </c>
      <c r="E194" s="26" t="inlineStr">
        <is>
          <t>Färben, Dauerwelle, Blondierung: Mischen, Auftragen, Überprüfen, Probewickeln, Fixieren</t>
        </is>
      </c>
      <c r="F194" s="26" t="inlineStr">
        <is>
          <t>Hautschutz: Hände mit Hautschutzpräparat eincremen Handschuhe: Friseur-Einmalhandschuhe nach DIN EN ISO 374-6 (Friseur-Symbol), keine gepuderten Latexhandschuhe Reinigung: Hände nur bei Verschmutzung waschen, ggf. mit pH-hautneutralem Reinigungsmittel; gut abtrocknen Pflege: Nach dem Waschen, vor Pausen und nach Arbeitsende Hände mit Hautpflegepräparat eincremen</t>
        </is>
      </c>
      <c r="G194" s="26" t="n"/>
      <c r="H194" s="26" t="inlineStr">
        <is>
          <t>TRGS 530 / BGW</t>
        </is>
      </c>
      <c r="I194" s="26" t="inlineStr">
        <is>
          <t>Quelle genannt</t>
        </is>
      </c>
      <c r="J194" s="26" t="inlineStr">
        <is>
          <t>frei</t>
        </is>
      </c>
      <c r="K194" s="26" t="n"/>
      <c r="L194" s="26" t="inlineStr">
        <is>
          <t>TRGS 530 Nr. 5.4; DIN EN ISO 374-6:2025</t>
        </is>
      </c>
      <c r="M194" s="26" t="n"/>
      <c r="N194" s="26" t="inlineStr">
        <is>
          <t>bestätigt</t>
        </is>
      </c>
      <c r="O194" s="27" t="inlineStr">
        <is>
          <t>umgesetzt</t>
        </is>
      </c>
      <c r="P194" s="27" t="inlineStr">
        <is>
          <t>Inhalt unverändert; Fundstelle der Durchsicht übernommen.</t>
        </is>
      </c>
    </row>
    <row r="195" ht="64.15000000000001" customHeight="1" s="17">
      <c r="A195" s="26" t="inlineStr">
        <is>
          <t>B-194</t>
        </is>
      </c>
      <c r="B195" s="26" t="inlineStr">
        <is>
          <t>Friseur</t>
        </is>
      </c>
      <c r="C195" s="26" t="inlineStr">
        <is>
          <t>Hautschutzplan</t>
        </is>
      </c>
      <c r="D195" s="26" t="inlineStr">
        <is>
          <t>Tätigkeiten</t>
        </is>
      </c>
      <c r="E195" s="26" t="inlineStr">
        <is>
          <t>Färben, Dauerwelle, Blondierung: Aufemulgieren, Auswaschen</t>
        </is>
      </c>
      <c r="F195" s="26" t="inlineStr">
        <is>
          <t>Hautschutz: Hände mit Hautschutzpräparat eincremen Handschuhe: Einmalhandschuhe mit langen Stulpen Reinigung: Hände nur bei Verschmutzung waschen, ggf. mit pH-hautneutralem Reinigungsmittel; gut abtrocknen Pflege: Nach dem Waschen, vor Pausen und nach Arbeitsende Hände mit Hautpflegepräparat eincremen</t>
        </is>
      </c>
      <c r="G195" s="26" t="n"/>
      <c r="H195" s="26" t="inlineStr">
        <is>
          <t>TRGS 530 / BGW</t>
        </is>
      </c>
      <c r="I195" s="26" t="inlineStr">
        <is>
          <t>Quelle genannt</t>
        </is>
      </c>
      <c r="J195" s="26" t="inlineStr">
        <is>
          <t>frei</t>
        </is>
      </c>
      <c r="K195" s="26" t="n"/>
      <c r="L195" s="26" t="inlineStr">
        <is>
          <t>TRGS 530</t>
        </is>
      </c>
      <c r="M195" s="26" t="n"/>
      <c r="N195" s="26" t="inlineStr">
        <is>
          <t>plausibel</t>
        </is>
      </c>
      <c r="O195" s="27" t="inlineStr">
        <is>
          <t>umgesetzt</t>
        </is>
      </c>
      <c r="P195" s="27" t="inlineStr">
        <is>
          <t>Inhalt unverändert; Fundstelle der Durchsicht übernommen.</t>
        </is>
      </c>
    </row>
    <row r="196" ht="64.15000000000001" customHeight="1" s="17">
      <c r="A196" s="26" t="inlineStr">
        <is>
          <t>B-195</t>
        </is>
      </c>
      <c r="B196" s="26" t="inlineStr">
        <is>
          <t>Friseur</t>
        </is>
      </c>
      <c r="C196" s="26" t="inlineStr">
        <is>
          <t>Hautschutzplan</t>
        </is>
      </c>
      <c r="D196" s="26" t="inlineStr">
        <is>
          <t>Tätigkeiten</t>
        </is>
      </c>
      <c r="E196" s="26" t="inlineStr">
        <is>
          <t>Styling, Kopfmassage ohne Haarbehandlungsmittel</t>
        </is>
      </c>
      <c r="F196" s="26" t="inlineStr">
        <is>
          <t>Hautschutz: Hände mit Hautschutzpräparat eincremen Handschuhe: Einmalhandschuhe bei empfindlicher Haut Reinigung: Hände nur bei Verschmutzung waschen, ggf. mit pH-hautneutralem Reinigungsmittel; gut abtrocknen Pflege: Nach dem Waschen, vor Pausen und nach Arbeitsende Hände mit Hautpflegepräparat eincremen</t>
        </is>
      </c>
      <c r="G196" s="26" t="n"/>
      <c r="H196" s="26" t="inlineStr">
        <is>
          <t>TRGS 530 / BGW</t>
        </is>
      </c>
      <c r="I196" s="26" t="inlineStr">
        <is>
          <t>Quelle genannt</t>
        </is>
      </c>
      <c r="J196" s="26" t="inlineStr">
        <is>
          <t>frei</t>
        </is>
      </c>
      <c r="K196" s="26" t="n"/>
      <c r="L196" s="26" t="inlineStr">
        <is>
          <t>TRGS 530 / BGW</t>
        </is>
      </c>
      <c r="M196" s="26" t="n"/>
      <c r="N196" s="26" t="inlineStr">
        <is>
          <t>plausibel</t>
        </is>
      </c>
      <c r="O196" s="27" t="inlineStr">
        <is>
          <t>umgesetzt</t>
        </is>
      </c>
      <c r="P196" s="27" t="inlineStr">
        <is>
          <t>Inhalt unverändert; Fundstelle der Durchsicht übernommen.</t>
        </is>
      </c>
    </row>
    <row r="197" ht="74.59999999999999" customHeight="1" s="17">
      <c r="A197" s="26" t="inlineStr">
        <is>
          <t>B-196</t>
        </is>
      </c>
      <c r="B197" s="26" t="inlineStr">
        <is>
          <t>Friseur</t>
        </is>
      </c>
      <c r="C197" s="26" t="inlineStr">
        <is>
          <t>Hautschutzplan</t>
        </is>
      </c>
      <c r="D197" s="26" t="inlineStr">
        <is>
          <t>Tätigkeiten</t>
        </is>
      </c>
      <c r="E197" s="26" t="inlineStr">
        <is>
          <t>Reinigung und Desinfektion von Arbeitsgeräten und Räumen</t>
        </is>
      </c>
      <c r="F197" s="26" t="inlineStr">
        <is>
          <t>Hautschutz: Hände mit Hautschutzpräparat eincremen Handschuhe: Haushaltshandschuhe bzw. chemikalienbeständige Schutzhandschuhe nach DIN EN ISO 374, ggf. mit längerem Schaft Reinigung: Hände nur bei Verschmutzung waschen, ggf. mit pH-hautneutralem Reinigungsmittel; gut abtrocknen Pflege: Nach dem Waschen, vor Pausen und nach Arbeitsende Hände mit Hautpflegepräparat eincremen</t>
        </is>
      </c>
      <c r="G197" s="26" t="n"/>
      <c r="H197" s="26" t="inlineStr">
        <is>
          <t>TRGS 530 / BGW</t>
        </is>
      </c>
      <c r="I197" s="26" t="inlineStr">
        <is>
          <t>Quelle genannt</t>
        </is>
      </c>
      <c r="J197" s="26" t="inlineStr">
        <is>
          <t>frei</t>
        </is>
      </c>
      <c r="K197" s="26" t="n"/>
      <c r="L197" s="26" t="inlineStr">
        <is>
          <t>TRGS 401</t>
        </is>
      </c>
      <c r="M197" s="26" t="n"/>
      <c r="N197" s="26" t="inlineStr">
        <is>
          <t>plausibel</t>
        </is>
      </c>
      <c r="O197" s="27" t="inlineStr">
        <is>
          <t>umgesetzt</t>
        </is>
      </c>
      <c r="P197" s="27" t="inlineStr">
        <is>
          <t>Inhalt unverändert; Fundstelle der Durchsicht übernommen.</t>
        </is>
      </c>
    </row>
    <row r="198" ht="32.8" customHeight="1" s="17">
      <c r="A198" s="26" t="inlineStr">
        <is>
          <t>B-197</t>
        </is>
      </c>
      <c r="B198" s="26" t="inlineStr">
        <is>
          <t>Friseur</t>
        </is>
      </c>
      <c r="C198" s="26" t="inlineStr">
        <is>
          <t>Hautschutzplan</t>
        </is>
      </c>
      <c r="D198" s="26" t="inlineStr">
        <is>
          <t>Tätigkeiten</t>
        </is>
      </c>
      <c r="E198" s="26" t="inlineStr">
        <is>
          <t>Lange Handschuhtragezeiten (alle Tätigkeiten)</t>
        </is>
      </c>
      <c r="F198" s="26" t="inlineStr">
        <is>
          <t>Handschuhe: Nahtlose Baumwoll-Unterziehhandschuhe; Handschuhe nur auf vollständig trockene Hände anziehen; beschädigte Handschuhe sofort austauschen</t>
        </is>
      </c>
      <c r="G198" s="26" t="n"/>
      <c r="H198" s="26" t="inlineStr">
        <is>
          <t>TRGS 530 / BGW</t>
        </is>
      </c>
      <c r="I198" s="26" t="inlineStr">
        <is>
          <t>Quelle genannt</t>
        </is>
      </c>
      <c r="J198" s="26" t="inlineStr">
        <is>
          <t>frei</t>
        </is>
      </c>
      <c r="K198" s="26" t="n"/>
      <c r="L198" s="26" t="inlineStr">
        <is>
          <t>TRGS 401</t>
        </is>
      </c>
      <c r="M198" s="26" t="n"/>
      <c r="N198" s="26" t="inlineStr">
        <is>
          <t>plausibel</t>
        </is>
      </c>
      <c r="O198" s="27" t="inlineStr">
        <is>
          <t>umgesetzt</t>
        </is>
      </c>
      <c r="P198" s="27" t="inlineStr">
        <is>
          <t>Inhalt unverändert; Fundstelle der Durchsicht übernommen.</t>
        </is>
      </c>
    </row>
  </sheetData>
  <autoFilter ref="A1:P198"/>
  <conditionalFormatting sqref="J2:J198">
    <cfRule type="expression" rank="0" priority="2" equalAverage="0" aboveAverage="0" dxfId="5" text="" percent="0" bottom="0">
      <formula>LEFT(J2,4)="frei"</formula>
    </cfRule>
    <cfRule type="expression" rank="0" priority="3" equalAverage="0" aboveAverage="0" dxfId="6" text="" percent="0" bottom="0">
      <formula>LEFT(J2,5)="ände"</formula>
    </cfRule>
    <cfRule type="expression" rank="0" priority="4" equalAverage="0" aboveAverage="0" dxfId="7" text="" percent="0" bottom="0">
      <formula>LEFT(J2,5)="stre"</formula>
    </cfRule>
    <cfRule type="expression" rank="0" priority="5" equalAverage="0" aboveAverage="0" dxfId="8" text="" percent="0" bottom="0">
      <formula>LEFT(J2,5)="ergä"</formula>
    </cfRule>
  </conditionalFormatting>
  <dataValidations count="1">
    <dataValidation sqref="O2:O198" showDropDown="0" showInputMessage="0" showErrorMessage="0" allowBlank="1" type="list" errorStyle="stop" operator="between">
      <formula1>"umgesetzt,abweichend umgesetzt,offen"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29"/>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8" customWidth="1" style="16" min="1" max="1"/>
    <col width="40" customWidth="1" style="16" min="2" max="2"/>
    <col width="26" customWidth="1" style="16" min="3" max="3"/>
    <col width="60" customWidth="1" style="16" min="4" max="4"/>
    <col width="34" customWidth="1" style="16" min="5" max="5"/>
    <col width="12" customWidth="1" style="16" min="6" max="6"/>
    <col width="9" customWidth="1" style="16" min="7" max="7"/>
    <col width="14" customWidth="1" style="16" min="8" max="8"/>
    <col width="48" customWidth="1" style="17" min="9" max="9"/>
  </cols>
  <sheetData>
    <row r="1" ht="31.5" customHeight="1" s="17">
      <c r="A1" s="25" t="inlineStr">
        <is>
          <t>Branchengruppe</t>
        </is>
      </c>
      <c r="B1" s="25" t="inlineStr">
        <is>
          <t>Fehlende Gefährdung</t>
        </is>
      </c>
      <c r="C1" s="25" t="inlineStr">
        <is>
          <t>Faktor</t>
        </is>
      </c>
      <c r="D1" s="25" t="inlineStr">
        <is>
          <t>Maßnahmen (Vorschlag, STOP)</t>
        </is>
      </c>
      <c r="E1" s="25" t="inlineStr">
        <is>
          <t>Fachquelle</t>
        </is>
      </c>
      <c r="F1" s="25" t="inlineStr">
        <is>
          <t>Risiko (Vorschlag)</t>
        </is>
      </c>
      <c r="G1" s="25" t="inlineStr">
        <is>
          <t>Prüfstand</t>
        </is>
      </c>
      <c r="H1" s="25" t="inlineStr">
        <is>
          <t>Umsetzung (Anbieter)</t>
        </is>
      </c>
      <c r="I1" s="25" t="inlineStr">
        <is>
          <t>Bemerkung Anbieter</t>
        </is>
      </c>
    </row>
    <row r="2" ht="32.8" customHeight="1" s="17">
      <c r="A2" s="26" t="inlineStr">
        <is>
          <t>Gastronomie / Café</t>
        </is>
      </c>
      <c r="B2" s="26" t="inlineStr">
        <is>
          <t>CO2 aus Getränkeschankanlagen und Druckgasflaschen im Keller: Erstickung</t>
        </is>
      </c>
      <c r="C2" s="26" t="inlineStr">
        <is>
          <t>Physikalische, chemische und biologische Einwirkungen</t>
        </is>
      </c>
      <c r="D2" s="26" t="inlineStr">
        <is>
          <t>CO2-Warnanlage in Räumen mit Gasflaschen bzw. Schankanlage; Flaschen gegen Umfallen sichern; Prüfung der Schankanlage nach BetrSichV; Unterweisung.</t>
        </is>
      </c>
      <c r="E2" s="26" t="inlineStr">
        <is>
          <t>DGUV Regel 110-007 (Getränkeschankanlagen); BetrSichV; TRGS 510</t>
        </is>
      </c>
      <c r="F2" s="26" t="inlineStr">
        <is>
          <t>hoch</t>
        </is>
      </c>
      <c r="G2" s="26" t="inlineStr">
        <is>
          <t>plausibel</t>
        </is>
      </c>
      <c r="H2" s="27" t="inlineStr">
        <is>
          <t>umgesetzt</t>
        </is>
      </c>
      <c r="I2" s="27" t="inlineStr">
        <is>
          <t>Neuer Vorschlag in der Gruppe „Gastronomie / Café“ mit der Fachquelle des Blatts; Risiko „hoch“ als Schwere vorgeschlagen, Wahrscheinlichkeit wählt der Betrieb.</t>
        </is>
      </c>
    </row>
    <row r="3" ht="32.8" customHeight="1" s="17">
      <c r="A3" s="26" t="inlineStr">
        <is>
          <t>Gastronomie / Café</t>
        </is>
      </c>
      <c r="B3" s="26" t="inlineStr">
        <is>
          <t>Gasgeräte, Flüssiggas: Brand, Explosion, CO</t>
        </is>
      </c>
      <c r="C3" s="26" t="inlineStr">
        <is>
          <t>Sonstige Gefährdungen (Brand/Explosion)</t>
        </is>
      </c>
      <c r="D3" s="26" t="inlineStr">
        <is>
          <t>Gasgeräte mit Lüftung verriegeln (schon in B-031 angedeutet); Flüssiggasanlagen prüfen lassen; Gasmangelsicherung; Verhalten bei Gasgeruch unterweisen.</t>
        </is>
      </c>
      <c r="E3" s="26" t="inlineStr">
        <is>
          <t>DGUV Vorschrift 79; DGUV Regel 110-003; BetrSichV</t>
        </is>
      </c>
      <c r="F3" s="26" t="inlineStr">
        <is>
          <t>hoch</t>
        </is>
      </c>
      <c r="G3" s="26" t="inlineStr">
        <is>
          <t>plausibel</t>
        </is>
      </c>
      <c r="H3" s="27" t="inlineStr">
        <is>
          <t>umgesetzt</t>
        </is>
      </c>
      <c r="I3" s="27" t="inlineStr">
        <is>
          <t>Neuer Vorschlag in der Gruppe „Gastronomie / Café“ mit der Fachquelle des Blatts; Risiko „hoch“ als Schwere vorgeschlagen, Wahrscheinlichkeit wählt der Betrieb.</t>
        </is>
      </c>
    </row>
    <row r="4" ht="22.35" customHeight="1" s="17">
      <c r="A4" s="26" t="inlineStr">
        <is>
          <t>Gastronomie / Café</t>
        </is>
      </c>
      <c r="B4" s="26" t="inlineStr">
        <is>
          <t>Brandschutz allgemein (über Fettbrand hinaus): Feuerlöscher, Fluchtwege, Brandschutzhelfer</t>
        </is>
      </c>
      <c r="C4" s="26" t="inlineStr">
        <is>
          <t>Sonstige Gefährdungen</t>
        </is>
      </c>
      <c r="D4" s="26" t="inlineStr">
        <is>
          <t>Grundausstattung Löscher nach ASR A2.2; Fluchtwege frei; Brandschutzhelfer (i. d. R. 5 %).</t>
        </is>
      </c>
      <c r="E4" s="26" t="inlineStr">
        <is>
          <t>ASR A2.2; ASR A2.3</t>
        </is>
      </c>
      <c r="F4" s="26" t="inlineStr">
        <is>
          <t>mittel</t>
        </is>
      </c>
      <c r="G4" s="26" t="inlineStr">
        <is>
          <t>plausibel</t>
        </is>
      </c>
      <c r="H4" s="27" t="inlineStr">
        <is>
          <t>umgesetzt</t>
        </is>
      </c>
      <c r="I4" s="27" t="inlineStr">
        <is>
          <t>Neuer Vorschlag in der Gruppe „Gastronomie / Café“ mit der Fachquelle des Blatts; Risiko „mittel“ als Schwere vorgeschlagen, Wahrscheinlichkeit wählt der Betrieb.</t>
        </is>
      </c>
    </row>
    <row r="5" ht="22.35" customHeight="1" s="17">
      <c r="A5" s="26" t="inlineStr">
        <is>
          <t>Gastronomie / Café</t>
        </is>
      </c>
      <c r="B5" s="26" t="inlineStr">
        <is>
          <t>Alleinarbeit, Spät- und Nachtschicht, Gästeaggression beim Kassenabschluss</t>
        </is>
      </c>
      <c r="C5" s="26" t="inlineStr">
        <is>
          <t>Psychische Belastungen</t>
        </is>
      </c>
      <c r="D5" s="26" t="inlineStr">
        <is>
          <t>Erreichbarkeit/Notruf; Kassenabschluss ohne Publikum; Bargeld reduzieren.</t>
        </is>
      </c>
      <c r="E5" s="26" t="inlineStr">
        <is>
          <t>BGN; DGUV Regel 112-139</t>
        </is>
      </c>
      <c r="F5" s="26" t="inlineStr">
        <is>
          <t>mittel</t>
        </is>
      </c>
      <c r="G5" s="26" t="inlineStr">
        <is>
          <t>plausibel</t>
        </is>
      </c>
      <c r="H5" s="27" t="inlineStr">
        <is>
          <t>umgesetzt</t>
        </is>
      </c>
      <c r="I5" s="27" t="inlineStr">
        <is>
          <t>Neuer Vorschlag in der Gruppe „Gastronomie / Café“ mit der Fachquelle des Blatts; Risiko „mittel“ als Schwere vorgeschlagen, Wahrscheinlichkeit wählt der Betrieb.</t>
        </is>
      </c>
    </row>
    <row r="6" ht="22.35" customHeight="1" s="17">
      <c r="A6" s="26" t="inlineStr">
        <is>
          <t>Friseur</t>
        </is>
      </c>
      <c r="B6" s="26" t="inlineStr">
        <is>
          <t>Schnitt- und Stichverletzungen an Scheren, Rasiermessern (mit Blutkontakt)</t>
        </is>
      </c>
      <c r="C6" s="26" t="inlineStr">
        <is>
          <t>Gestaltung, Auswahl und Einsatz von Arbeitsmitteln</t>
        </is>
      </c>
      <c r="D6" s="26" t="inlineStr">
        <is>
          <t>Rasiermesser mit Wechselklinge; Klingen in durchstichsichere Behälter; Verbandbuch; Hygieneplan.</t>
        </is>
      </c>
      <c r="E6" s="26" t="inlineStr">
        <is>
          <t>BGW; Landes-Hygieneverordnung</t>
        </is>
      </c>
      <c r="F6" s="26" t="inlineStr">
        <is>
          <t>mittel</t>
        </is>
      </c>
      <c r="G6" s="26" t="inlineStr">
        <is>
          <t>plausibel</t>
        </is>
      </c>
      <c r="H6" s="27" t="inlineStr">
        <is>
          <t>umgesetzt</t>
        </is>
      </c>
      <c r="I6" s="27" t="inlineStr">
        <is>
          <t>Neuer Vorschlag in der Gruppe „Friseur“ mit der Fachquelle des Blatts; Risiko „mittel“ als Schwere vorgeschlagen, Wahrscheinlichkeit wählt der Betrieb.</t>
        </is>
      </c>
    </row>
    <row r="7" ht="22.35" customHeight="1" s="17">
      <c r="A7" s="26" t="inlineStr">
        <is>
          <t>Friseur</t>
        </is>
      </c>
      <c r="B7" s="26" t="inlineStr">
        <is>
          <t>Verbrennungen an Glätteisen, Lockenstab, Wärmegeräten</t>
        </is>
      </c>
      <c r="C7" s="26" t="inlineStr">
        <is>
          <t>Gestaltung, Auswahl und Einsatz von Arbeitsmitteln</t>
        </is>
      </c>
      <c r="D7" s="26" t="inlineStr">
        <is>
          <t>Hitzefeste Ablagen; Geräte nach Gebrauch abschalten.</t>
        </is>
      </c>
      <c r="E7" s="26" t="inlineStr">
        <is>
          <t>BGW</t>
        </is>
      </c>
      <c r="F7" s="26" t="inlineStr">
        <is>
          <t>gering</t>
        </is>
      </c>
      <c r="G7" s="26" t="inlineStr">
        <is>
          <t>plausibel</t>
        </is>
      </c>
      <c r="H7" s="27" t="inlineStr">
        <is>
          <t>umgesetzt</t>
        </is>
      </c>
      <c r="I7" s="27" t="inlineStr">
        <is>
          <t>Neuer Vorschlag in der Gruppe „Friseur“ mit der Fachquelle des Blatts; Risiko „gering“ als Schwere vorgeschlagen, Wahrscheinlichkeit wählt der Betrieb.</t>
        </is>
      </c>
    </row>
    <row r="8" ht="22.35" customHeight="1" s="17">
      <c r="A8" s="26" t="inlineStr">
        <is>
          <t>Kosmetik</t>
        </is>
      </c>
      <c r="B8" s="26" t="inlineStr">
        <is>
          <t>Verbrennungen durch Heißwachs; UV-Strahlung von Nageltrocknern</t>
        </is>
      </c>
      <c r="C8" s="26" t="inlineStr">
        <is>
          <t>Physikalische Einwirkungen</t>
        </is>
      </c>
      <c r="D8" s="26" t="inlineStr">
        <is>
          <t>Wachserwärmer mit Temperaturregelung; LED-Geräte bevorzugen; Herstellerangaben.</t>
        </is>
      </c>
      <c r="E8" s="26" t="inlineStr">
        <is>
          <t>BGW 04-05-080; OStrV</t>
        </is>
      </c>
      <c r="F8" s="26" t="inlineStr">
        <is>
          <t>gering</t>
        </is>
      </c>
      <c r="G8" s="26" t="inlineStr">
        <is>
          <t>offen</t>
        </is>
      </c>
      <c r="H8" s="27" t="inlineStr">
        <is>
          <t>umgesetzt</t>
        </is>
      </c>
      <c r="I8" s="27" t="inlineStr">
        <is>
          <t>Neuer Vorschlag in der Gruppe „Kosmetik“ mit der Fachquelle des Blatts; Risiko „gering“ als Schwere vorgeschlagen, Wahrscheinlichkeit wählt der Betrieb. Prüfstand offen: Quelle mit „fachlich zu prüfen“ (PRUEFLISTE T-152).</t>
        </is>
      </c>
    </row>
    <row r="9" ht="22.35" customHeight="1" s="17">
      <c r="A9" s="26" t="inlineStr">
        <is>
          <t>Bäckerei</t>
        </is>
      </c>
      <c r="B9" s="26" t="inlineStr">
        <is>
          <t>Hautbelastung durch Teig, Mehl, Feuchtarbeit, Reinigungsmittel</t>
        </is>
      </c>
      <c r="C9" s="26" t="inlineStr">
        <is>
          <t>Physikalische, chemische und biologische Einwirkungen</t>
        </is>
      </c>
      <c r="D9" s="26" t="inlineStr">
        <is>
          <t>Hautschutzplan; Handschuhe bei Reinigung; Feuchtarbeitszeiten (ArbMedVV).</t>
        </is>
      </c>
      <c r="E9" s="26" t="inlineStr">
        <is>
          <t>TRGS 401; BGN</t>
        </is>
      </c>
      <c r="F9" s="26" t="inlineStr">
        <is>
          <t>mittel</t>
        </is>
      </c>
      <c r="G9" s="26" t="inlineStr">
        <is>
          <t>plausibel</t>
        </is>
      </c>
      <c r="H9" s="27" t="inlineStr">
        <is>
          <t>umgesetzt</t>
        </is>
      </c>
      <c r="I9" s="27" t="inlineStr">
        <is>
          <t>Neuer Vorschlag in der Gruppe „Bäckerei“ mit der Fachquelle des Blatts; Risiko „mittel“ als Schwere vorgeschlagen, Wahrscheinlichkeit wählt der Betrieb.</t>
        </is>
      </c>
    </row>
    <row r="10" ht="22.35" customHeight="1" s="17">
      <c r="A10" s="26" t="inlineStr">
        <is>
          <t>Bäckerei</t>
        </is>
      </c>
      <c r="B10" s="26" t="inlineStr">
        <is>
          <t>Schneid- und Brotschneidemaschinen, Ausrutschen auf Mehl/Wasser, Heben von Mehlsäcken (25 kg)</t>
        </is>
      </c>
      <c r="C10" s="26" t="inlineStr">
        <is>
          <t>Arbeitsmittel / Arbeitsstätte / Arbeitsverfahren</t>
        </is>
      </c>
      <c r="D10" s="26" t="inlineStr">
        <is>
          <t>Schutzeinrichtungen; R-Wert Backstube nach ASR A1.5 Anh. 2; Hebehilfen, Sackkarre.</t>
        </is>
      </c>
      <c r="E10" s="26" t="inlineStr">
        <is>
          <t>BGN; ASR A1.5; LasthandhabV</t>
        </is>
      </c>
      <c r="F10" s="26" t="inlineStr">
        <is>
          <t>mittel</t>
        </is>
      </c>
      <c r="G10" s="26" t="inlineStr">
        <is>
          <t>plausibel</t>
        </is>
      </c>
      <c r="H10" s="27" t="inlineStr">
        <is>
          <t>umgesetzt</t>
        </is>
      </c>
      <c r="I10" s="27" t="inlineStr">
        <is>
          <t>Neuer Vorschlag in der Gruppe „Bäckerei“ mit der Fachquelle des Blatts; Risiko „mittel“ als Schwere vorgeschlagen, Wahrscheinlichkeit wählt der Betrieb.</t>
        </is>
      </c>
    </row>
    <row r="11" ht="32.8" customHeight="1" s="17">
      <c r="A11" s="26" t="inlineStr">
        <is>
          <t>Kfz-Werkstatt</t>
        </is>
      </c>
      <c r="B11" s="26" t="inlineStr">
        <is>
          <t>Schweißen und Schneiden: Schweißrauch, Brand, optische Strahlung</t>
        </is>
      </c>
      <c r="C11" s="26" t="inlineStr">
        <is>
          <t>Physikalische, chemische und biologische Einwirkungen</t>
        </is>
      </c>
      <c r="D11" s="26" t="inlineStr">
        <is>
          <t>Absaugung an der Entstehungsstelle; Brandwache/Erlaubnisschein; Schutzschirm. Vorsorge: Pflicht &gt; 3 mg/m³ Schweißrauch, Angebot bei Einhaltung (ArbMedVV Anh. Teil 1 Abs. 1 Nr. 2b / Abs. 2 Nr. 2f).</t>
        </is>
      </c>
      <c r="E11" s="26" t="inlineStr">
        <is>
          <t>TRGS 528; DGUV Regel 100-500 Kap. 2.26; ArbMedVV</t>
        </is>
      </c>
      <c r="F11" s="26" t="inlineStr">
        <is>
          <t>hoch</t>
        </is>
      </c>
      <c r="G11" s="26" t="inlineStr">
        <is>
          <t>bestätigt</t>
        </is>
      </c>
      <c r="H11" s="27" t="inlineStr">
        <is>
          <t>umgesetzt</t>
        </is>
      </c>
      <c r="I11" s="27" t="inlineStr">
        <is>
          <t>Neuer Vorschlag in der Gruppe „Kfz-Werkstatt“ mit der Fachquelle des Blatts; Risiko „hoch“ als Schwere vorgeschlagen, Wahrscheinlichkeit wählt der Betrieb. Vorsorge &gt; 3 mg/m³ übernommen.</t>
        </is>
      </c>
    </row>
    <row r="12" ht="22.35" customHeight="1" s="17">
      <c r="A12" s="26" t="inlineStr">
        <is>
          <t>Kfz-Werkstatt</t>
        </is>
      </c>
      <c r="B12" s="26" t="inlineStr">
        <is>
          <t>Hautkontakt mit Altöl, Kraftstoff (Benzol), Kühlschmierstoff</t>
        </is>
      </c>
      <c r="C12" s="26" t="inlineStr">
        <is>
          <t>Physikalische, chemische und biologische Einwirkungen</t>
        </is>
      </c>
      <c r="D12" s="26" t="inlineStr">
        <is>
          <t>Chemikalienschutzhandschuhe; Hautschutzplan; keine Reinigung mit Kraftstoff.</t>
        </is>
      </c>
      <c r="E12" s="26" t="inlineStr">
        <is>
          <t>TRGS 401; DGUV Regel 109-009</t>
        </is>
      </c>
      <c r="F12" s="26" t="inlineStr">
        <is>
          <t>mittel</t>
        </is>
      </c>
      <c r="G12" s="26" t="inlineStr">
        <is>
          <t>plausibel</t>
        </is>
      </c>
      <c r="H12" s="27" t="inlineStr">
        <is>
          <t>umgesetzt</t>
        </is>
      </c>
      <c r="I12" s="27" t="inlineStr">
        <is>
          <t>Neuer Vorschlag in der Gruppe „Kfz-Werkstatt“ mit der Fachquelle des Blatts; Risiko „mittel“ als Schwere vorgeschlagen, Wahrscheinlichkeit wählt der Betrieb.</t>
        </is>
      </c>
    </row>
    <row r="13" ht="22.35" customHeight="1" s="17">
      <c r="A13" s="26" t="inlineStr">
        <is>
          <t>Kfz-Werkstatt</t>
        </is>
      </c>
      <c r="B13" s="26" t="inlineStr">
        <is>
          <t>Pyrotechnische Rückhaltesysteme (Airbag, Gurtstraffer)</t>
        </is>
      </c>
      <c r="C13" s="26" t="inlineStr">
        <is>
          <t>Sonstige Gefährdungen</t>
        </is>
      </c>
      <c r="D13" s="26" t="inlineStr">
        <is>
          <t>Nur unterwiesene Beschäftigte; Herstellerangaben; Lagerung nach SprengG-Vorgaben.</t>
        </is>
      </c>
      <c r="E13" s="26" t="inlineStr">
        <is>
          <t>DGUV Regel 109-009</t>
        </is>
      </c>
      <c r="F13" s="26" t="inlineStr">
        <is>
          <t>mittel</t>
        </is>
      </c>
      <c r="G13" s="26" t="inlineStr">
        <is>
          <t>offen</t>
        </is>
      </c>
      <c r="H13" s="27" t="inlineStr">
        <is>
          <t>umgesetzt</t>
        </is>
      </c>
      <c r="I13" s="27" t="inlineStr">
        <is>
          <t>Neuer Vorschlag in der Gruppe „Kfz-Werkstatt“ mit der Fachquelle des Blatts; Risiko „mittel“ als Schwere vorgeschlagen, Wahrscheinlichkeit wählt der Betrieb. Prüfstand offen: Quelle mit „fachlich zu prüfen“ (PRUEFLISTE T-152).</t>
        </is>
      </c>
    </row>
    <row r="14" ht="22.35" customHeight="1" s="17">
      <c r="A14" s="26" t="inlineStr">
        <is>
          <t>Kfz-Werkstatt</t>
        </is>
      </c>
      <c r="B14" s="26" t="inlineStr">
        <is>
          <t>Brand- und Explosionsgefahr durch Kraftstoffe, Lacke, Batterieladung</t>
        </is>
      </c>
      <c r="C14" s="26" t="inlineStr">
        <is>
          <t>Sonstige Gefährdungen</t>
        </is>
      </c>
      <c r="D14" s="26" t="inlineStr">
        <is>
          <t>Zündquellen; Ex-Bereiche nach GB; Feuerlöscher.</t>
        </is>
      </c>
      <c r="E14" s="26" t="inlineStr">
        <is>
          <t>TRGS 720 ff.; DGUV Regel 109-009</t>
        </is>
      </c>
      <c r="F14" s="26" t="inlineStr">
        <is>
          <t>hoch</t>
        </is>
      </c>
      <c r="G14" s="26" t="inlineStr">
        <is>
          <t>plausibel</t>
        </is>
      </c>
      <c r="H14" s="27" t="inlineStr">
        <is>
          <t>umgesetzt</t>
        </is>
      </c>
      <c r="I14" s="27" t="inlineStr">
        <is>
          <t>Neuer Vorschlag in der Gruppe „Kfz-Werkstatt“ mit der Fachquelle des Blatts; Risiko „hoch“ als Schwere vorgeschlagen, Wahrscheinlichkeit wählt der Betrieb.</t>
        </is>
      </c>
    </row>
    <row r="15" ht="22.35" customHeight="1" s="17">
      <c r="A15" s="26" t="inlineStr">
        <is>
          <t>Transport / Kurier</t>
        </is>
      </c>
      <c r="B15" s="26" t="inlineStr">
        <is>
          <t>Ein- und Aussteigen, Laderaum, Hubladebühne: Stürze und Quetschen</t>
        </is>
      </c>
      <c r="C15" s="26" t="inlineStr">
        <is>
          <t>Gestaltung, Auswahl und Einsatz von Arbeitsmitteln</t>
        </is>
      </c>
      <c r="D15" s="26" t="inlineStr">
        <is>
          <t>Trittstufen und Haltegriffe; Hubladebühne prüfen; nicht springen.</t>
        </is>
      </c>
      <c r="E15" s="26" t="inlineStr">
        <is>
          <t>DGUV Vorschrift 70; BG Verkehr</t>
        </is>
      </c>
      <c r="F15" s="26" t="inlineStr">
        <is>
          <t>mittel</t>
        </is>
      </c>
      <c r="G15" s="26" t="inlineStr">
        <is>
          <t>offen</t>
        </is>
      </c>
      <c r="H15" s="27" t="inlineStr">
        <is>
          <t>umgesetzt</t>
        </is>
      </c>
      <c r="I15" s="27" t="inlineStr">
        <is>
          <t>Neuer Vorschlag in der Gruppe „Transport / Kurier“ mit der Fachquelle des Blatts; Risiko „mittel“ als Schwere vorgeschlagen, Wahrscheinlichkeit wählt der Betrieb. Prüfstand offen: Quelle mit „fachlich zu prüfen“ (PRUEFLISTE T-152).</t>
        </is>
      </c>
    </row>
    <row r="16" ht="22.35" customHeight="1" s="17">
      <c r="A16" s="26" t="inlineStr">
        <is>
          <t>Transport / Kurier</t>
        </is>
      </c>
      <c r="B16" s="26" t="inlineStr">
        <is>
          <t>Rangieren und Rückwärtsfahren</t>
        </is>
      </c>
      <c r="C16" s="26" t="inlineStr">
        <is>
          <t>Gestaltung, Auswahl und Einsatz von Arbeitsmitteln</t>
        </is>
      </c>
      <c r="D16" s="26" t="inlineStr">
        <is>
          <t>Einweiser bzw. Rückfahrkamera; § 46 DGUV V70.</t>
        </is>
      </c>
      <c r="E16" s="26" t="inlineStr">
        <is>
          <t>§ 46 DGUV Vorschrift 70 (Nr. prüfen)</t>
        </is>
      </c>
      <c r="F16" s="26" t="inlineStr">
        <is>
          <t>mittel</t>
        </is>
      </c>
      <c r="G16" s="26" t="inlineStr">
        <is>
          <t>offen</t>
        </is>
      </c>
      <c r="H16" s="27" t="inlineStr">
        <is>
          <t>umgesetzt</t>
        </is>
      </c>
      <c r="I16" s="27" t="inlineStr">
        <is>
          <t>Neuer Vorschlag in der Gruppe „Transport / Kurier“ mit der Fachquelle des Blatts; Risiko „mittel“ als Schwere vorgeschlagen, Wahrscheinlichkeit wählt der Betrieb. Prüfstand offen: Quelle mit „fachlich zu prüfen“ (PRUEFLISTE T-152).</t>
        </is>
      </c>
    </row>
    <row r="17" ht="22.35" customHeight="1" s="17">
      <c r="A17" s="26" t="inlineStr">
        <is>
          <t>Gebäudereinigung</t>
        </is>
      </c>
      <c r="B17" s="26" t="inlineStr">
        <is>
          <t>Feuchtarbeit und Hautbelastung durch Reinigungsmittel</t>
        </is>
      </c>
      <c r="C17" s="26" t="inlineStr">
        <is>
          <t>Physikalische, chemische und biologische Einwirkungen</t>
        </is>
      </c>
      <c r="D17" s="26" t="inlineStr">
        <is>
          <t>Hautschutzplan; geeignete Handschuhe mit Unterziehhandschuhen; Vorsorge nach ArbMedVV (&gt; 2 / ≥ 4 Std.).</t>
        </is>
      </c>
      <c r="E17" s="26" t="inlineStr">
        <is>
          <t>TRGS 401; ArbMedVV Anh. Teil 1; BG BAU</t>
        </is>
      </c>
      <c r="F17" s="26" t="inlineStr">
        <is>
          <t>hoch</t>
        </is>
      </c>
      <c r="G17" s="26" t="inlineStr">
        <is>
          <t>bestätigt</t>
        </is>
      </c>
      <c r="H17" s="27" t="inlineStr">
        <is>
          <t>umgesetzt</t>
        </is>
      </c>
      <c r="I17" s="27" t="inlineStr">
        <is>
          <t>Neuer Vorschlag in der Gruppe „Gebäudereinigung“ mit der Fachquelle des Blatts; Risiko „hoch“ als Schwere vorgeschlagen, Wahrscheinlichkeit wählt der Betrieb.</t>
        </is>
      </c>
    </row>
    <row r="18" ht="22.35" customHeight="1" s="17">
      <c r="A18" s="26" t="inlineStr">
        <is>
          <t>Gebäudereinigung</t>
        </is>
      </c>
      <c r="B18" s="26" t="inlineStr">
        <is>
          <t>Ätzende Sanitär- und Grundreiniger: Verätzung von Haut und Augen</t>
        </is>
      </c>
      <c r="C18" s="26" t="inlineStr">
        <is>
          <t>Physikalische, chemische und biologische Einwirkungen</t>
        </is>
      </c>
      <c r="D18" s="26" t="inlineStr">
        <is>
          <t>Ersatz durch mildere Reiniger; Dosiersysteme; Schutzbrille; Betriebsanweisung.</t>
        </is>
      </c>
      <c r="E18" s="26" t="inlineStr">
        <is>
          <t>DGUV Regel 101-019; TRGS 555</t>
        </is>
      </c>
      <c r="F18" s="26" t="inlineStr">
        <is>
          <t>mittel</t>
        </is>
      </c>
      <c r="G18" s="26" t="inlineStr">
        <is>
          <t>plausibel</t>
        </is>
      </c>
      <c r="H18" s="27" t="inlineStr">
        <is>
          <t>umgesetzt</t>
        </is>
      </c>
      <c r="I18" s="27" t="inlineStr">
        <is>
          <t>Neuer Vorschlag in der Gruppe „Gebäudereinigung“ mit der Fachquelle des Blatts; Risiko „mittel“ als Schwere vorgeschlagen, Wahrscheinlichkeit wählt der Betrieb.</t>
        </is>
      </c>
    </row>
    <row r="19" ht="22.35" customHeight="1" s="17">
      <c r="A19" s="26" t="inlineStr">
        <is>
          <t>Gebäudereinigung</t>
        </is>
      </c>
      <c r="B19" s="26" t="inlineStr">
        <is>
          <t>Ausrutschen auf frisch gewischten Böden</t>
        </is>
      </c>
      <c r="C19" s="26" t="inlineStr">
        <is>
          <t>Gestaltung und Einrichtung der Arbeitsstätte</t>
        </is>
      </c>
      <c r="D19" s="26" t="inlineStr">
        <is>
          <t>Bereiche absperren/kennzeichnen; rutschhemmende Schuhe; Nass-/Trockenzonen.</t>
        </is>
      </c>
      <c r="E19" s="26" t="inlineStr">
        <is>
          <t>ASR A1.5; BG BAU</t>
        </is>
      </c>
      <c r="F19" s="26" t="inlineStr">
        <is>
          <t>mittel</t>
        </is>
      </c>
      <c r="G19" s="26" t="inlineStr">
        <is>
          <t>plausibel</t>
        </is>
      </c>
      <c r="H19" s="27" t="inlineStr">
        <is>
          <t>umgesetzt</t>
        </is>
      </c>
      <c r="I19" s="27" t="inlineStr">
        <is>
          <t>Neuer Vorschlag in der Gruppe „Gebäudereinigung“ mit der Fachquelle des Blatts; Risiko „mittel“ als Schwere vorgeschlagen, Wahrscheinlichkeit wählt der Betrieb.</t>
        </is>
      </c>
    </row>
    <row r="20" ht="22.35" customHeight="1" s="17">
      <c r="A20" s="26" t="inlineStr">
        <is>
          <t>Gebäudereinigung</t>
        </is>
      </c>
      <c r="B20" s="26" t="inlineStr">
        <is>
          <t>Absturz bei Glas- und Fensterreinigung, Leitern und Tritte</t>
        </is>
      </c>
      <c r="C20" s="26" t="inlineStr">
        <is>
          <t>Gestaltung, Auswahl und Einsatz von Arbeitsmitteln</t>
        </is>
      </c>
      <c r="D20" s="26" t="inlineStr">
        <is>
          <t>Teleskopstangen statt Leiter; geeignete Tritte; Anschlageinrichtungen nutzen.</t>
        </is>
      </c>
      <c r="E20" s="26" t="inlineStr">
        <is>
          <t>DGUV Information 208-016; BG BAU</t>
        </is>
      </c>
      <c r="F20" s="26" t="inlineStr">
        <is>
          <t>hoch</t>
        </is>
      </c>
      <c r="G20" s="26" t="inlineStr">
        <is>
          <t>plausibel</t>
        </is>
      </c>
      <c r="H20" s="27" t="inlineStr">
        <is>
          <t>umgesetzt</t>
        </is>
      </c>
      <c r="I20" s="27" t="inlineStr">
        <is>
          <t>Neuer Vorschlag in der Gruppe „Gebäudereinigung“ mit der Fachquelle des Blatts; Risiko „hoch“ als Schwere vorgeschlagen, Wahrscheinlichkeit wählt der Betrieb.</t>
        </is>
      </c>
    </row>
    <row r="21" ht="22.35" customHeight="1" s="17">
      <c r="A21" s="26" t="inlineStr">
        <is>
          <t>Gebäudereinigung</t>
        </is>
      </c>
      <c r="B21" s="26" t="inlineStr">
        <is>
          <t>Biostoffe in Sanitärbereichen</t>
        </is>
      </c>
      <c r="C21" s="26" t="inlineStr">
        <is>
          <t>Physikalische, chemische und biologische Einwirkungen</t>
        </is>
      </c>
      <c r="D21" s="26" t="inlineStr">
        <is>
          <t>Handschuhe; Farbkodierung Reinigungstücher; Händehygiene; Impfangebot prüfen (Betriebsarzt).</t>
        </is>
      </c>
      <c r="E21" s="26" t="inlineStr">
        <is>
          <t>BioStoffV; TRBA 220/250 sinngemäß</t>
        </is>
      </c>
      <c r="F21" s="26" t="inlineStr">
        <is>
          <t>mittel</t>
        </is>
      </c>
      <c r="G21" s="26" t="inlineStr">
        <is>
          <t>offen</t>
        </is>
      </c>
      <c r="H21" s="27" t="inlineStr">
        <is>
          <t>umgesetzt</t>
        </is>
      </c>
      <c r="I21" s="27" t="inlineStr">
        <is>
          <t>Neuer Vorschlag in der Gruppe „Gebäudereinigung“ mit der Fachquelle des Blatts; Risiko „mittel“ als Schwere vorgeschlagen, Wahrscheinlichkeit wählt der Betrieb. Prüfstand offen: Quelle mit „fachlich zu prüfen“ (PRUEFLISTE T-152).</t>
        </is>
      </c>
    </row>
    <row r="22" ht="22.35" customHeight="1" s="17">
      <c r="A22" s="26" t="inlineStr">
        <is>
          <t>Gebäudereinigung</t>
        </is>
      </c>
      <c r="B22" s="26" t="inlineStr">
        <is>
          <t>Heben/Tragen, Zwangshaltungen, Reinigungsmaschinen (Lärm, Elektrik)</t>
        </is>
      </c>
      <c r="C22" s="26" t="inlineStr">
        <is>
          <t>Arbeitsverfahren / Arbeitsmittel</t>
        </is>
      </c>
      <c r="D22" s="26" t="inlineStr">
        <is>
          <t>Leichte Geräte, Fahrwagen; DGUV V3-Prüfung; Kabelführung.</t>
        </is>
      </c>
      <c r="E22" s="26" t="inlineStr">
        <is>
          <t>LasthandhabV; DGUV V3</t>
        </is>
      </c>
      <c r="F22" s="26" t="inlineStr">
        <is>
          <t>mittel</t>
        </is>
      </c>
      <c r="G22" s="26" t="inlineStr">
        <is>
          <t>plausibel</t>
        </is>
      </c>
      <c r="H22" s="27" t="inlineStr">
        <is>
          <t>umgesetzt</t>
        </is>
      </c>
      <c r="I22" s="27" t="inlineStr">
        <is>
          <t>Neuer Vorschlag in der Gruppe „Gebäudereinigung“ mit der Fachquelle des Blatts; Risiko „mittel“ als Schwere vorgeschlagen, Wahrscheinlichkeit wählt der Betrieb.</t>
        </is>
      </c>
    </row>
    <row r="23" ht="22.35" customHeight="1" s="17">
      <c r="A23" s="26" t="inlineStr">
        <is>
          <t>Büro / Laden</t>
        </is>
      </c>
      <c r="B23" s="26" t="inlineStr">
        <is>
          <t>Flurförderzeuge (Handhubwagen) und Warenannahme</t>
        </is>
      </c>
      <c r="C23" s="26" t="inlineStr">
        <is>
          <t>Gestaltung, Auswahl und Einsatz von Arbeitsmitteln</t>
        </is>
      </c>
      <c r="D23" s="26" t="inlineStr">
        <is>
          <t>Unterweisung; Sicherheitsschuhe; Verkehrswege trennen.</t>
        </is>
      </c>
      <c r="E23" s="26" t="inlineStr">
        <is>
          <t>BGHW; DGUV Vorschrift 68 (nur bei Gabelstaplern)</t>
        </is>
      </c>
      <c r="F23" s="26" t="inlineStr">
        <is>
          <t>mittel</t>
        </is>
      </c>
      <c r="G23" s="26" t="inlineStr">
        <is>
          <t>plausibel</t>
        </is>
      </c>
      <c r="H23" s="27" t="inlineStr">
        <is>
          <t>umgesetzt</t>
        </is>
      </c>
      <c r="I23" s="27" t="inlineStr">
        <is>
          <t>Neuer Vorschlag in der Gruppe „Büro / Laden“ mit der Fachquelle des Blatts; Risiko „mittel“ als Schwere vorgeschlagen, Wahrscheinlichkeit wählt der Betrieb.</t>
        </is>
      </c>
    </row>
    <row r="24" ht="15" customHeight="1" s="17">
      <c r="A24" s="26" t="inlineStr">
        <is>
          <t>Büro / Laden</t>
        </is>
      </c>
      <c r="B24" s="26" t="inlineStr">
        <is>
          <t>Kälte an Kühltheken und in Kühlräumen</t>
        </is>
      </c>
      <c r="C24" s="26" t="inlineStr">
        <is>
          <t>Physikalische Einwirkungen</t>
        </is>
      </c>
      <c r="D24" s="26" t="inlineStr">
        <is>
          <t>Kälteschutzkleidung; Aufwärmzeiten.</t>
        </is>
      </c>
      <c r="E24" s="26" t="inlineStr">
        <is>
          <t>BGHW; ASR A3.5</t>
        </is>
      </c>
      <c r="F24" s="26" t="inlineStr">
        <is>
          <t>gering</t>
        </is>
      </c>
      <c r="G24" s="26" t="inlineStr">
        <is>
          <t>plausibel</t>
        </is>
      </c>
      <c r="H24" s="27" t="inlineStr">
        <is>
          <t>umgesetzt</t>
        </is>
      </c>
      <c r="I24" s="27" t="inlineStr">
        <is>
          <t>Neuer Vorschlag in der Gruppe „Büro / Laden“ mit der Fachquelle des Blatts; Risiko „gering“ als Schwere vorgeschlagen, Wahrscheinlichkeit wählt der Betrieb.</t>
        </is>
      </c>
    </row>
    <row r="25" ht="22.35" customHeight="1" s="17">
      <c r="A25" s="26" t="inlineStr">
        <is>
          <t>Praxis / Gesundheit</t>
        </is>
      </c>
      <c r="B25" s="26" t="inlineStr">
        <is>
          <t>Gewalt und Aggression durch Patienten</t>
        </is>
      </c>
      <c r="C25" s="26" t="inlineStr">
        <is>
          <t>Psychische Belastungen</t>
        </is>
      </c>
      <c r="D25" s="26" t="inlineStr">
        <is>
          <t>Notfallplan, Alarmierung, Deeskalationsschulung, Nachsorge.</t>
        </is>
      </c>
      <c r="E25" s="26" t="inlineStr">
        <is>
          <t>BGW; DGUV Information 207-025 (Titel prüfen)</t>
        </is>
      </c>
      <c r="F25" s="26" t="inlineStr">
        <is>
          <t>mittel</t>
        </is>
      </c>
      <c r="G25" s="26" t="inlineStr">
        <is>
          <t>offen</t>
        </is>
      </c>
      <c r="H25" s="27" t="inlineStr">
        <is>
          <t>umgesetzt</t>
        </is>
      </c>
      <c r="I25" s="27" t="inlineStr">
        <is>
          <t>Neuer Vorschlag in der Gruppe „Praxis / Gesundheit“ mit der Fachquelle des Blatts; Risiko „mittel“ als Schwere vorgeschlagen, Wahrscheinlichkeit wählt der Betrieb. Prüfstand offen: Quelle mit „fachlich zu prüfen“ (PRUEFLISTE T-152).</t>
        </is>
      </c>
    </row>
    <row r="26" ht="22.35" customHeight="1" s="17">
      <c r="A26" s="26" t="inlineStr">
        <is>
          <t>Praxis / Gesundheit</t>
        </is>
      </c>
      <c r="B26" s="26" t="inlineStr">
        <is>
          <t>Laser in Dermatologie/Zahnmedizin</t>
        </is>
      </c>
      <c r="C26" s="26" t="inlineStr">
        <is>
          <t>Physikalische Einwirkungen</t>
        </is>
      </c>
      <c r="D26" s="26" t="inlineStr">
        <is>
          <t>Laserschutzbeauftragter (§ 5 Abs. 2 OStrV); Schutzbrillen; Bereich kennzeichnen.</t>
        </is>
      </c>
      <c r="E26" s="26" t="inlineStr">
        <is>
          <t>OStrV; TROS Laserstrahlung</t>
        </is>
      </c>
      <c r="F26" s="26" t="inlineStr">
        <is>
          <t>hoch</t>
        </is>
      </c>
      <c r="G26" s="26" t="inlineStr">
        <is>
          <t>plausibel</t>
        </is>
      </c>
      <c r="H26" s="27" t="inlineStr">
        <is>
          <t>umgesetzt</t>
        </is>
      </c>
      <c r="I26" s="27" t="inlineStr">
        <is>
          <t>Neuer Vorschlag in der Gruppe „Praxis / Gesundheit“ mit der Fachquelle des Blatts; Risiko „hoch“ als Schwere vorgeschlagen, Wahrscheinlichkeit wählt der Betrieb.</t>
        </is>
      </c>
    </row>
    <row r="27" ht="22.35" customHeight="1" s="17">
      <c r="A27" s="26" t="inlineStr">
        <is>
          <t>Praxis / Gesundheit</t>
        </is>
      </c>
      <c r="B27" s="26" t="inlineStr">
        <is>
          <t>Narkosegase/Lachgas (Zahnarzt), Quecksilber/Amalgam, Methacrylate</t>
        </is>
      </c>
      <c r="C27" s="26" t="inlineStr">
        <is>
          <t>Physikalische, chemische und biologische Einwirkungen</t>
        </is>
      </c>
      <c r="D27" s="26" t="inlineStr">
        <is>
          <t>Absaugung; geschlossene Systeme; Gefahrstoffverzeichnis; Mutterschutz beachten.</t>
        </is>
      </c>
      <c r="E27" s="26" t="inlineStr">
        <is>
          <t>TRGS 525</t>
        </is>
      </c>
      <c r="F27" s="26" t="inlineStr">
        <is>
          <t>mittel</t>
        </is>
      </c>
      <c r="G27" s="26" t="inlineStr">
        <is>
          <t>offen</t>
        </is>
      </c>
      <c r="H27" s="27" t="inlineStr">
        <is>
          <t>umgesetzt</t>
        </is>
      </c>
      <c r="I27" s="27" t="inlineStr">
        <is>
          <t>Neuer Vorschlag in der Gruppe „Praxis / Gesundheit“ mit der Fachquelle des Blatts; Risiko „mittel“ als Schwere vorgeschlagen, Wahrscheinlichkeit wählt der Betrieb. Prüfstand offen: Quelle mit „fachlich zu prüfen“ (PRUEFLISTE T-152).</t>
        </is>
      </c>
    </row>
    <row r="28" ht="22.35" customHeight="1" s="17">
      <c r="A28" s="26" t="inlineStr">
        <is>
          <t>Praxis / Gesundheit</t>
        </is>
      </c>
      <c r="B28" s="26" t="inlineStr">
        <is>
          <t>Mutterschutz bei Biostoffen (Röteln, CMV, Varizellen)</t>
        </is>
      </c>
      <c r="C28" s="26" t="inlineStr">
        <is>
          <t>Sonstige / Mutterschutz</t>
        </is>
      </c>
      <c r="D28" s="26" t="inlineStr">
        <is>
          <t>Immunstatus klären; unverantwortbare Gefährdung nach § 11 Abs. 2 MuSchG beurteilen.</t>
        </is>
      </c>
      <c r="E28" s="26" t="inlineStr">
        <is>
          <t>§ 11 Abs. 2 MuSchG</t>
        </is>
      </c>
      <c r="F28" s="26" t="inlineStr">
        <is>
          <t>hoch</t>
        </is>
      </c>
      <c r="G28" s="26" t="inlineStr">
        <is>
          <t>offen</t>
        </is>
      </c>
      <c r="H28" s="27" t="inlineStr">
        <is>
          <t>umgesetzt</t>
        </is>
      </c>
      <c r="I28" s="27" t="inlineStr">
        <is>
          <t>Neuer Vorschlag in der Gruppe „Praxis / Gesundheit“ mit der Fachquelle des Blatts; Risiko „hoch“ als Schwere vorgeschlagen, Wahrscheinlichkeit wählt der Betrieb. Prüfstand offen: Quelle mit „fachlich zu prüfen“ (PRUEFLISTE T-152).</t>
        </is>
      </c>
    </row>
    <row r="29" ht="22.35" customHeight="1" s="17">
      <c r="A29" s="26" t="inlineStr">
        <is>
          <t>Alle Branchen</t>
        </is>
      </c>
      <c r="B29" s="26" t="inlineStr">
        <is>
          <t>Mutterschutz: Gefahrstoffe, Biostoffe, Heben, Stehen – Hinweis je Baustein</t>
        </is>
      </c>
      <c r="C29" s="26" t="inlineStr">
        <is>
          <t>Mutterschutz</t>
        </is>
      </c>
      <c r="D29" s="26" t="inlineStr">
        <is>
          <t>Bausteine mit Mutterschutzrelevanz kennzeichnen (z. B. Feuchtarbeit nein, Friseurchemikalien/Biostoffe ja).</t>
        </is>
      </c>
      <c r="E29" s="26" t="inlineStr">
        <is>
          <t>§§ 9–11 MuSchG</t>
        </is>
      </c>
      <c r="F29" s="26" t="inlineStr">
        <is>
          <t>—</t>
        </is>
      </c>
      <c r="G29" s="26" t="inlineStr">
        <is>
          <t>offen</t>
        </is>
      </c>
      <c r="H29" s="27" t="inlineStr">
        <is>
          <t>abweichend umgesetzt</t>
        </is>
      </c>
      <c r="I29" s="27" t="inlineStr">
        <is>
          <t>Keine Kennzeichnung je Baustein; stattdessen warnt die Gefährdungsbeurteilung bei „keine Schutzmaßnahmen“ trotz Gefahrstoffen, Biostoffen, Lärm, Heben/Tragen, Strahlung oder Narkosegasen (§§ 9–12 MuSchG); PRUEFLISTE T-152.</t>
        </is>
      </c>
    </row>
  </sheetData>
  <autoFilter ref="A1:H2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29"/>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48" customWidth="1" style="16" min="1" max="1"/>
    <col width="22" customWidth="1" style="16" min="2" max="2"/>
    <col width="60" customWidth="1" style="16" min="3" max="3"/>
    <col width="30" customWidth="1" style="16" min="4" max="4"/>
    <col width="9" customWidth="1" style="16" min="5" max="5"/>
    <col width="22" customWidth="1" style="17" min="6" max="6"/>
    <col width="48" customWidth="1" style="17" min="7" max="7"/>
  </cols>
  <sheetData>
    <row r="1" ht="31.5" customHeight="1" s="17">
      <c r="A1" s="25" t="inlineStr">
        <is>
          <t>Kennzahl</t>
        </is>
      </c>
      <c r="B1" s="25" t="inlineStr">
        <is>
          <t>Baustein</t>
        </is>
      </c>
      <c r="C1" s="25" t="inlineStr">
        <is>
          <t>Fundstelle</t>
        </is>
      </c>
      <c r="D1" s="25" t="inlineStr">
        <is>
          <t>Ergebnis</t>
        </is>
      </c>
      <c r="E1" s="25" t="inlineStr">
        <is>
          <t>Prüfstand</t>
        </is>
      </c>
      <c r="F1" s="25" t="inlineStr">
        <is>
          <t>Umsetzung (Anbieter)</t>
        </is>
      </c>
      <c r="G1" s="25" t="inlineStr">
        <is>
          <t>Bemerkung Anbieter</t>
        </is>
      </c>
    </row>
    <row r="2" ht="15" customHeight="1" s="17">
      <c r="A2" s="26" t="inlineStr">
        <is>
          <t>R 9 (Friseur, Boden)</t>
        </is>
      </c>
      <c r="B2" s="26" t="inlineStr">
        <is>
          <t>B-002</t>
        </is>
      </c>
      <c r="C2" s="26" t="inlineStr">
        <is>
          <t>BGW-Branchenhilfe; ASR A1.5 Anh. 2 nennt Friseursalons nicht ausdrücklich</t>
        </is>
      </c>
      <c r="D2" s="26" t="inlineStr">
        <is>
          <t>Fundstelle präzisieren</t>
        </is>
      </c>
      <c r="E2" s="26" t="inlineStr">
        <is>
          <t>plausibel</t>
        </is>
      </c>
      <c r="F2" s="27" t="inlineStr">
        <is>
          <t>abweichend umgesetzt</t>
        </is>
      </c>
      <c r="G2" s="27" t="inlineStr">
        <is>
          <t>Fundstelle „BGW-Branchenhilfe Friseur“ (ASR-Bezug entfernt); Titel/Seite der BGW-Schrift noch nicht ergänzt (T-151).</t>
        </is>
      </c>
    </row>
    <row r="3" ht="15" customHeight="1" s="17">
      <c r="A3" s="26" t="inlineStr">
        <is>
          <t>R 12 Gastroküche / Spülraum (fehlt im Baustein)</t>
        </is>
      </c>
      <c r="B3" s="26" t="inlineStr">
        <is>
          <t>B-030</t>
        </is>
      </c>
      <c r="C3" s="26" t="inlineStr">
        <is>
          <t>ASR A1.5 Anh. 2; BGN ASI 4.40</t>
        </is>
      </c>
      <c r="D3" s="26" t="inlineStr">
        <is>
          <t>ergänzen</t>
        </is>
      </c>
      <c r="E3" s="26" t="inlineStr">
        <is>
          <t>plausibel</t>
        </is>
      </c>
      <c r="F3" s="27" t="inlineStr">
        <is>
          <t>umgesetzt</t>
        </is>
      </c>
      <c r="G3" s="27" t="inlineStr">
        <is>
          <t>B-030 um „Bodenbelag in der gewerblichen Küche und im Spülraum mindestens Bewertungsgruppe R 12“ ergänzt; Quelle ASR A1.5 Anhang 2, BGN ASI 4.40.</t>
        </is>
      </c>
    </row>
    <row r="4" ht="15" customHeight="1" s="17">
      <c r="A4" s="26" t="inlineStr">
        <is>
          <t>100 m³/h Frischluft je Mitarbeiter</t>
        </is>
      </c>
      <c r="B4" s="26" t="inlineStr">
        <is>
          <t>B-004</t>
        </is>
      </c>
      <c r="C4" s="26" t="inlineStr">
        <is>
          <t>TRGS 530 Nr. 5.2 Abs. 1</t>
        </is>
      </c>
      <c r="D4" s="26" t="inlineStr">
        <is>
          <t>bestätigt</t>
        </is>
      </c>
      <c r="E4" s="26" t="inlineStr">
        <is>
          <t>bestätigt</t>
        </is>
      </c>
      <c r="F4" s="27" t="inlineStr">
        <is>
          <t>umgesetzt</t>
        </is>
      </c>
      <c r="G4" s="27" t="inlineStr">
        <is>
          <t>Fundstelle TRGS 530 Nr. 5.2 Abs. 1.</t>
        </is>
      </c>
    </row>
    <row r="5" ht="22.35" customHeight="1" s="17">
      <c r="A5" s="26" t="inlineStr">
        <is>
          <t>750 lx Kosmetik</t>
        </is>
      </c>
      <c r="B5" s="26" t="inlineStr">
        <is>
          <t>B-018</t>
        </is>
      </c>
      <c r="C5" s="26" t="inlineStr">
        <is>
          <t>BGW-Empfehlung; ASR A3.4 Anh. 3 ohne Kosmetikwert (Haarpflege 12.1: 500 lx)</t>
        </is>
      </c>
      <c r="D5" s="26" t="inlineStr">
        <is>
          <t>Quelle ändern</t>
        </is>
      </c>
      <c r="E5" s="26" t="inlineStr">
        <is>
          <t>bestätigt</t>
        </is>
      </c>
      <c r="F5" s="27" t="inlineStr">
        <is>
          <t>umgesetzt</t>
        </is>
      </c>
      <c r="G5" s="27" t="inlineStr">
        <is>
          <t>Als BGW-Empfehlung gekennzeichnet, ASR-Verweis berichtigt (Haarpflege 500 lx).</t>
        </is>
      </c>
    </row>
    <row r="6" ht="15" customHeight="1" s="17">
      <c r="A6" s="26" t="inlineStr">
        <is>
          <t>300 lx Verkauf / 500 lx Büro / 500 lx Kasse</t>
        </is>
      </c>
      <c r="B6" s="26" t="inlineStr">
        <is>
          <t>B-059</t>
        </is>
      </c>
      <c r="C6" s="26" t="inlineStr">
        <is>
          <t>ASR A3.4 Anh. 3 Nr. 24.1, 4.2, 24.2</t>
        </is>
      </c>
      <c r="D6" s="26" t="inlineStr">
        <is>
          <t>bestätigt</t>
        </is>
      </c>
      <c r="E6" s="26" t="inlineStr">
        <is>
          <t>bestätigt</t>
        </is>
      </c>
      <c r="F6" s="27" t="inlineStr">
        <is>
          <t>umgesetzt</t>
        </is>
      </c>
      <c r="G6" s="27" t="inlineStr">
        <is>
          <t>Fundstelle ASR A3.4 Anhang 3 Nr. 4.2, 24.1, 24.2.</t>
        </is>
      </c>
    </row>
    <row r="7" ht="15" customHeight="1" s="17">
      <c r="A7" s="26" t="inlineStr">
        <is>
          <t>20 °C / 26 °C</t>
        </is>
      </c>
      <c r="B7" s="26" t="inlineStr">
        <is>
          <t>B-058</t>
        </is>
      </c>
      <c r="C7" s="26" t="inlineStr">
        <is>
          <t>ASR A3.5 Tab. 1, Nr. 4.4 (Stufen 26/30/35 °C)</t>
        </is>
      </c>
      <c r="D7" s="26" t="inlineStr">
        <is>
          <t>ergänzen</t>
        </is>
      </c>
      <c r="E7" s="26" t="inlineStr">
        <is>
          <t>plausibel</t>
        </is>
      </c>
      <c r="F7" s="27" t="inlineStr">
        <is>
          <t>umgesetzt</t>
        </is>
      </c>
      <c r="G7" s="27" t="inlineStr">
        <is>
          <t>B-058: Stufen 26/30/35 °C nach ASR A3.5 übernommen.</t>
        </is>
      </c>
    </row>
    <row r="8" ht="15" customHeight="1" s="17">
      <c r="A8" s="26" t="inlineStr">
        <is>
          <t>6 LE bis 50 m²</t>
        </is>
      </c>
      <c r="B8" s="26" t="inlineStr">
        <is>
          <t>B-009</t>
        </is>
      </c>
      <c r="C8" s="26" t="inlineStr">
        <is>
          <t>ASR A2.2 Tab. 3</t>
        </is>
      </c>
      <c r="D8" s="26" t="inlineStr">
        <is>
          <t>bestätigt</t>
        </is>
      </c>
      <c r="E8" s="26" t="inlineStr">
        <is>
          <t>plausibel</t>
        </is>
      </c>
      <c r="F8" s="27" t="inlineStr">
        <is>
          <t>umgesetzt</t>
        </is>
      </c>
      <c r="G8" s="27" t="inlineStr">
        <is>
          <t>B-009: Fundstelle ASR A2.2 Tab. 3; Löscherart als Beispiel.</t>
        </is>
      </c>
    </row>
    <row r="9" ht="15" customHeight="1" s="17">
      <c r="A9" s="26" t="inlineStr">
        <is>
          <t>Feuerlöscher-Prüfung alle 2 Jahre</t>
        </is>
      </c>
      <c r="B9" s="26" t="inlineStr">
        <is>
          <t>B-009, B-070</t>
        </is>
      </c>
      <c r="C9" s="26" t="inlineStr">
        <is>
          <t>ASR A2.2</t>
        </is>
      </c>
      <c r="D9" s="26" t="inlineStr">
        <is>
          <t>bestätigt</t>
        </is>
      </c>
      <c r="E9" s="26" t="inlineStr">
        <is>
          <t>plausibel</t>
        </is>
      </c>
      <c r="F9" s="27" t="inlineStr">
        <is>
          <t>umgesetzt</t>
        </is>
      </c>
      <c r="G9" s="27" t="inlineStr">
        <is>
          <t>Fundstelle ASR A2.2 (B-009, B-070); Prüffrist auch als Vorschlag im Abschnitt „Prüfungen der Arbeitsmittel“.</t>
        </is>
      </c>
    </row>
    <row r="10" ht="15" customHeight="1" s="17">
      <c r="A10" s="26" t="inlineStr">
        <is>
          <t>Fettbrand: bis 50 l / 50–100 l / &gt; 100 l, Reserve 25 %</t>
        </is>
      </c>
      <c r="B10" s="26" t="inlineStr">
        <is>
          <t>B-036</t>
        </is>
      </c>
      <c r="C10" s="26" t="inlineStr">
        <is>
          <t>BGN ASI 2.15 Nr. 4</t>
        </is>
      </c>
      <c r="D10" s="26" t="inlineStr">
        <is>
          <t>korrigieren</t>
        </is>
      </c>
      <c r="E10" s="26" t="inlineStr">
        <is>
          <t>bestätigt</t>
        </is>
      </c>
      <c r="F10" s="27" t="inlineStr">
        <is>
          <t>umgesetzt</t>
        </is>
      </c>
      <c r="G10" s="27" t="inlineStr">
        <is>
          <t>B-036 in drei Vorschläge nach Fettmenge geteilt, Reserve 25 %, BGN ASI 2.15 Nr. 4.</t>
        </is>
      </c>
    </row>
    <row r="11" ht="15" customHeight="1" s="17">
      <c r="A11" s="26" t="inlineStr">
        <is>
          <t>Feuchtarbeit &lt; 4 Std., angestrebt &lt; 2 Std.</t>
        </is>
      </c>
      <c r="B11" s="26" t="inlineStr">
        <is>
          <t>B-005</t>
        </is>
      </c>
      <c r="C11" s="26" t="inlineStr">
        <is>
          <t>TRGS 530 Nr. 5.3 Abs. 2</t>
        </is>
      </c>
      <c r="D11" s="26" t="inlineStr">
        <is>
          <t>bestätigt</t>
        </is>
      </c>
      <c r="E11" s="26" t="inlineStr">
        <is>
          <t>bestätigt</t>
        </is>
      </c>
      <c r="F11" s="27" t="inlineStr">
        <is>
          <t>umgesetzt</t>
        </is>
      </c>
      <c r="G11" s="27" t="inlineStr">
        <is>
          <t>Fundstelle TRGS 530 Nr. 5.3 Abs. 2 (B-005).</t>
        </is>
      </c>
    </row>
    <row r="12" ht="15" customHeight="1" s="17">
      <c r="A12" s="26" t="inlineStr">
        <is>
          <t>Feuchtarbeit Vorsorge: &gt; 2 Std. Angebot, ≥ 4 Std. Pflicht</t>
        </is>
      </c>
      <c r="B12" s="26" t="inlineStr">
        <is>
          <t>B-005, B-037, B-107</t>
        </is>
      </c>
      <c r="C12" s="26" t="inlineStr">
        <is>
          <t>ArbMedVV Anh. Teil 1 Abs. 2 Nr. 2e / Abs. 1 Nr. 2a</t>
        </is>
      </c>
      <c r="D12" s="26" t="inlineStr">
        <is>
          <t>bestätigt</t>
        </is>
      </c>
      <c r="E12" s="26" t="inlineStr">
        <is>
          <t>bestätigt</t>
        </is>
      </c>
      <c r="F12" s="27" t="inlineStr">
        <is>
          <t>umgesetzt</t>
        </is>
      </c>
      <c r="G12" s="27" t="inlineStr">
        <is>
          <t>Satz in B-005, B-037 ergänzt; B-107 und neue Bausteine Bäckerei/Gebäudereinigung ebenso.</t>
        </is>
      </c>
    </row>
    <row r="13" ht="15" customHeight="1" s="17">
      <c r="A13" s="26" t="inlineStr">
        <is>
          <t>Mehlstaub 4 mg/m³</t>
        </is>
      </c>
      <c r="B13" s="26" t="inlineStr">
        <is>
          <t>B-092</t>
        </is>
      </c>
      <c r="C13" s="26" t="inlineStr">
        <is>
          <t>ArbMedVV Anh. Teil 1 Abs. 1 Nr. 2j / Abs. 2 Nr. 2j</t>
        </is>
      </c>
      <c r="D13" s="26" t="inlineStr">
        <is>
          <t>bestätigt</t>
        </is>
      </c>
      <c r="E13" s="26" t="inlineStr">
        <is>
          <t>bestätigt</t>
        </is>
      </c>
      <c r="F13" s="27" t="inlineStr">
        <is>
          <t>umgesetzt</t>
        </is>
      </c>
      <c r="G13" s="27" t="inlineStr">
        <is>
          <t>B-092: Pflichtvorsorge über 4 mg/m³, Angebotsvorsorge bei Einhaltung.</t>
        </is>
      </c>
    </row>
    <row r="14" ht="15" customHeight="1" s="17">
      <c r="A14" s="26" t="inlineStr">
        <is>
          <t>Schweißrauch 3 mg/m³ (neu)</t>
        </is>
      </c>
      <c r="B14" s="26" t="inlineStr">
        <is>
          <t>fehlt (Kfz)</t>
        </is>
      </c>
      <c r="C14" s="26" t="inlineStr">
        <is>
          <t>ArbMedVV Anh. Teil 1 Abs. 1 Nr. 2b / Abs. 2 Nr. 2f</t>
        </is>
      </c>
      <c r="D14" s="26" t="inlineStr">
        <is>
          <t>ergänzen</t>
        </is>
      </c>
      <c r="E14" s="26" t="inlineStr">
        <is>
          <t>bestätigt</t>
        </is>
      </c>
      <c r="F14" s="27" t="inlineStr">
        <is>
          <t>umgesetzt</t>
        </is>
      </c>
      <c r="G14" s="27" t="inlineStr">
        <is>
          <t>Neuer Baustein Kfz „Schweißen und Schneiden“ mit Pflicht-/Angebotsvorsorge.</t>
        </is>
      </c>
    </row>
    <row r="15" ht="15" customHeight="1" s="17">
      <c r="A15" s="26" t="inlineStr">
        <is>
          <t>Hartholzstaub</t>
        </is>
      </c>
      <c r="B15" s="26" t="inlineStr">
        <is>
          <t>B-079</t>
        </is>
      </c>
      <c r="C15" s="26" t="inlineStr">
        <is>
          <t>ArbMedVV Anh. Teil 1 Abs. 1 Nr. 1; TRGS 553 (AGW Holzstaub 2 mg/m³)</t>
        </is>
      </c>
      <c r="D15" s="26" t="inlineStr">
        <is>
          <t>ergänzen</t>
        </is>
      </c>
      <c r="E15" s="26" t="inlineStr">
        <is>
          <t>bestätigt</t>
        </is>
      </c>
      <c r="F15" s="27" t="inlineStr">
        <is>
          <t>umgesetzt</t>
        </is>
      </c>
      <c r="G15" s="27" t="inlineStr">
        <is>
          <t>B-079: AGW 2 mg/m³, Vorsorge nach ArbMedVV, Expositionsverzeichnis (neue Vorlage).</t>
        </is>
      </c>
    </row>
    <row r="16" ht="15" customHeight="1" s="17">
      <c r="A16" s="26" t="inlineStr">
        <is>
          <t>Lärm 80/85 dB(A); 135/137 dB(C)</t>
        </is>
      </c>
      <c r="B16" s="26" t="inlineStr">
        <is>
          <t>B-039, B-046, B-083, B-134</t>
        </is>
      </c>
      <c r="C16" s="26" t="inlineStr">
        <is>
          <t>LärmVibrationsArbSchV § 6; ArbMedVV Anh. Teil 3</t>
        </is>
      </c>
      <c r="D16" s="26" t="inlineStr">
        <is>
          <t>bestätigt</t>
        </is>
      </c>
      <c r="E16" s="26" t="inlineStr">
        <is>
          <t>bestätigt</t>
        </is>
      </c>
      <c r="F16" s="27" t="inlineStr">
        <is>
          <t>umgesetzt</t>
        </is>
      </c>
      <c r="G16" s="27" t="inlineStr">
        <is>
          <t>B-039 (Tragepflicht ab 85 dB(A)), B-134 (bereitstellen ab 80, tragen ab 85); Fundstellen LärmVibrationsArbSchV/ArbMedVV.</t>
        </is>
      </c>
    </row>
    <row r="17" ht="15" customHeight="1" s="17">
      <c r="A17" s="26" t="inlineStr">
        <is>
          <t>UV im Freien ≥ 1 Std./Tag (neu)</t>
        </is>
      </c>
      <c r="B17" s="26" t="inlineStr">
        <is>
          <t>B-050, B-101</t>
        </is>
      </c>
      <c r="C17" s="26" t="inlineStr">
        <is>
          <t>ArbMedVV Anh. Teil 3 Abs. 2; AMR 13.3</t>
        </is>
      </c>
      <c r="D17" s="26" t="inlineStr">
        <is>
          <t>ergänzen</t>
        </is>
      </c>
      <c r="E17" s="26" t="inlineStr">
        <is>
          <t>plausibel</t>
        </is>
      </c>
      <c r="F17" s="27" t="inlineStr">
        <is>
          <t>umgesetzt</t>
        </is>
      </c>
      <c r="G17" s="27" t="inlineStr">
        <is>
          <t>B-050 und B-101: Angebotsvorsorge bei regelmäßig 1 Std. oder mehr je Tag.</t>
        </is>
      </c>
    </row>
    <row r="18" ht="15" customHeight="1" s="17">
      <c r="A18" s="26" t="inlineStr">
        <is>
          <t>RCD ≤ 30 mA für Steckdosen bis 32 A (Baustelle)</t>
        </is>
      </c>
      <c r="B18" s="26" t="inlineStr">
        <is>
          <t>B-051</t>
        </is>
      </c>
      <c r="C18" s="26" t="inlineStr">
        <is>
          <t>DGUV Information 203-006; DIN VDE 0100-704</t>
        </is>
      </c>
      <c r="D18" s="26" t="inlineStr">
        <is>
          <t>bestätigt</t>
        </is>
      </c>
      <c r="E18" s="26" t="inlineStr">
        <is>
          <t>plausibel</t>
        </is>
      </c>
      <c r="F18" s="27" t="inlineStr">
        <is>
          <t>umgesetzt</t>
        </is>
      </c>
      <c r="G18" s="27" t="inlineStr">
        <is>
          <t>Fundstelle DGUV Information 203-006 ergänzt (B-051).</t>
        </is>
      </c>
    </row>
    <row r="19" ht="22.35" customHeight="1" s="17">
      <c r="A19" s="26" t="inlineStr">
        <is>
          <t>Prüffristen ortsveränderlich 6 Mon. / Baustelle 3 Mon. / max. 1 bzw. 2 Jahre bei Fehlerquote &lt; 2 %</t>
        </is>
      </c>
      <c r="B19" s="26" t="inlineStr">
        <is>
          <t>B-188–B-191, B-025</t>
        </is>
      </c>
      <c r="C19" s="26" t="inlineStr">
        <is>
          <t>DGUV V3 DA zu § 5 Tab. 1B</t>
        </is>
      </c>
      <c r="D19" s="26" t="inlineStr">
        <is>
          <t>bestätigt</t>
        </is>
      </c>
      <c r="E19" s="26" t="inlineStr">
        <is>
          <t>plausibel</t>
        </is>
      </c>
      <c r="F19" s="27" t="inlineStr">
        <is>
          <t>umgesetzt</t>
        </is>
      </c>
      <c r="G19" s="27" t="inlineStr">
        <is>
          <t>Unverändert; Prüfprotokoll schlägt den Termin nur vor, keine automatische Verlängerung.</t>
        </is>
      </c>
    </row>
    <row r="20" ht="22.35" customHeight="1" s="17">
      <c r="A20" s="26" t="inlineStr">
        <is>
          <t>Anlagen 4 Jahre; Gruppe 700: 1 Jahr; RCD nichtstationär (EFK) 1 Monat</t>
        </is>
      </c>
      <c r="B20" s="26" t="inlineStr">
        <is>
          <t>ELEKTRO_FRISTEN</t>
        </is>
      </c>
      <c r="C20" s="26" t="inlineStr">
        <is>
          <t>DGUV V3 DA zu § 5 Tab. 1A</t>
        </is>
      </c>
      <c r="D20" s="26" t="inlineStr">
        <is>
          <t>bestätigt</t>
        </is>
      </c>
      <c r="E20" s="26" t="inlineStr">
        <is>
          <t>plausibel</t>
        </is>
      </c>
      <c r="F20" s="27" t="inlineStr">
        <is>
          <t>umgesetzt</t>
        </is>
      </c>
      <c r="G20" s="27" t="inlineStr">
        <is>
          <t>Unverändert; als Vorschläge auch im Abschnitt „Prüfungen der Arbeitsmittel“.</t>
        </is>
      </c>
    </row>
    <row r="21" ht="22.35" customHeight="1" s="17">
      <c r="A21" s="26" t="inlineStr">
        <is>
          <t>RCD Prüftaste: stationär 6 Monate, nichtstationär arbeitstäglich („unsicher“)</t>
        </is>
      </c>
      <c r="B21" s="26" t="inlineStr">
        <is>
          <t>ELEKTRO_FRISTEN</t>
        </is>
      </c>
      <c r="C21" s="26" t="inlineStr">
        <is>
          <t>DGUV V3 DA zu § 5 Tab. 1A; Herstellerangaben können abweichen</t>
        </is>
      </c>
      <c r="D21" s="26" t="inlineStr">
        <is>
          <t>bestätigt – Markierung „unsicher“ kann entfallen</t>
        </is>
      </c>
      <c r="E21" s="26" t="inlineStr">
        <is>
          <t>bestätigt</t>
        </is>
      </c>
      <c r="F21" s="27" t="inlineStr">
        <is>
          <t>umgesetzt</t>
        </is>
      </c>
      <c r="G21" s="27" t="inlineStr">
        <is>
          <t>Markierung „unsicher“ entfernt; Hinweis „Herstellerangaben können abweichen“ in der Quelle.</t>
        </is>
      </c>
    </row>
    <row r="22" ht="15" customHeight="1" s="17">
      <c r="A22" s="26" t="inlineStr">
        <is>
          <t>Seitenschutz ab 1,00 m / 2,00 m</t>
        </is>
      </c>
      <c r="B22" s="26" t="inlineStr">
        <is>
          <t>B-045</t>
        </is>
      </c>
      <c r="C22" s="26" t="inlineStr">
        <is>
          <t>ASR A2.1 Nr. 4.1; BG BAU</t>
        </is>
      </c>
      <c r="D22" s="26" t="inlineStr">
        <is>
          <t>bestätigt</t>
        </is>
      </c>
      <c r="E22" s="26" t="inlineStr">
        <is>
          <t>plausibel</t>
        </is>
      </c>
      <c r="F22" s="27" t="inlineStr">
        <is>
          <t>umgesetzt</t>
        </is>
      </c>
      <c r="G22" s="27" t="inlineStr">
        <is>
          <t>Fundstelle ASR A2.1 Nr. 4.1 ergänzt (B-045).</t>
        </is>
      </c>
    </row>
    <row r="23" ht="15" customHeight="1" s="17">
      <c r="A23" s="26" t="inlineStr">
        <is>
          <t>Anlegewinkel 65–75°, 1 m Überstand</t>
        </is>
      </c>
      <c r="B23" s="26" t="inlineStr">
        <is>
          <t>B-044</t>
        </is>
      </c>
      <c r="C23" s="26" t="inlineStr">
        <is>
          <t>DGUV Information 208-016</t>
        </is>
      </c>
      <c r="D23" s="26" t="inlineStr">
        <is>
          <t>bestätigt</t>
        </is>
      </c>
      <c r="E23" s="26" t="inlineStr">
        <is>
          <t>plausibel</t>
        </is>
      </c>
      <c r="F23" s="27" t="inlineStr">
        <is>
          <t>umgesetzt</t>
        </is>
      </c>
      <c r="G23" s="27" t="inlineStr">
        <is>
          <t>B-044: Stufenanlegeleitern 60–70° ergänzt; Prüfung durch befähigte Person nach GB.</t>
        </is>
      </c>
    </row>
    <row r="24" ht="22.35" customHeight="1" s="17">
      <c r="A24" s="26" t="inlineStr">
        <is>
          <t>Arbeitsfläche 160 × 80 cm</t>
        </is>
      </c>
      <c r="B24" s="26" t="inlineStr">
        <is>
          <t>B-060</t>
        </is>
      </c>
      <c r="C24" s="26" t="inlineStr">
        <is>
          <t>ASR A6 Nr. 6.3.10</t>
        </is>
      </c>
      <c r="D24" s="26" t="inlineStr">
        <is>
          <t>bestätigt (Höhenverstellbarkeit keine Pflicht)</t>
        </is>
      </c>
      <c r="E24" s="26" t="inlineStr">
        <is>
          <t>bestätigt</t>
        </is>
      </c>
      <c r="F24" s="27" t="inlineStr">
        <is>
          <t>umgesetzt</t>
        </is>
      </c>
      <c r="G24" s="27" t="inlineStr">
        <is>
          <t>B-060: 160 × 80 cm (120 × 80 cm), Höhenverstellbarkeit nur empfohlen; Fundstelle ASR A6.</t>
        </is>
      </c>
    </row>
    <row r="25" ht="22.35" customHeight="1" s="17">
      <c r="A25" s="26" t="inlineStr">
        <is>
          <t>Ersthelfer: 2–20 → 1; &gt; 20: 5 % / 10 %; Fortbildung 2 Jahre; Doku 5 Jahre</t>
        </is>
      </c>
      <c r="B25" s="26" t="inlineStr">
        <is>
          <t>B-071, Regelwert E.53</t>
        </is>
      </c>
      <c r="C25" s="26" t="inlineStr">
        <is>
          <t>§§ 24 Abs. 6, 26 DGUV Vorschrift 1</t>
        </is>
      </c>
      <c r="D25" s="26" t="inlineStr">
        <is>
          <t>ergänzen (10 %)</t>
        </is>
      </c>
      <c r="E25" s="26" t="inlineStr">
        <is>
          <t>plausibel</t>
        </is>
      </c>
      <c r="F25" s="27" t="inlineStr">
        <is>
          <t>abweichend umgesetzt</t>
        </is>
      </c>
      <c r="G25" s="27" t="inlineStr">
        <is>
          <t>B-071: 5 %/10 % und „in der Regel“ zwei Jahre übernommen, Baustein für alle Branchen; Regelwert E.53 im Katalog zieht der Katalog-Teil nach (T-155).</t>
        </is>
      </c>
    </row>
    <row r="26" ht="15" customHeight="1" s="17">
      <c r="A26" s="26" t="inlineStr">
        <is>
          <t>Jugendliche: 8 Std./40 Std.; Bäckerei ab 5 bzw. 4 Uhr</t>
        </is>
      </c>
      <c r="B26" s="26" t="inlineStr">
        <is>
          <t>B-095, B-114</t>
        </is>
      </c>
      <c r="C26" s="26" t="inlineStr">
        <is>
          <t>§§ 8, 14 Abs. 2 Nr. 4, Abs. 3 JArbSchG</t>
        </is>
      </c>
      <c r="D26" s="26" t="inlineStr">
        <is>
          <t>bestätigt</t>
        </is>
      </c>
      <c r="E26" s="26" t="inlineStr">
        <is>
          <t>plausibel</t>
        </is>
      </c>
      <c r="F26" s="27" t="inlineStr">
        <is>
          <t>umgesetzt</t>
        </is>
      </c>
      <c r="G26" s="27" t="inlineStr">
        <is>
          <t>B-114 mit §§ 8, 11, 12, 14 JArbSchG konkret; B-095 unverändert bestätigt.</t>
        </is>
      </c>
    </row>
    <row r="27" ht="15" customHeight="1" s="17">
      <c r="A27" s="26" t="inlineStr">
        <is>
          <t>Nachtarbeit: Untersuchung alle 3 Jahre, ab 50 jährlich</t>
        </is>
      </c>
      <c r="B27" s="26" t="inlineStr">
        <is>
          <t>B-095 (fehlt)</t>
        </is>
      </c>
      <c r="C27" s="26" t="inlineStr">
        <is>
          <t>§ 6 Abs. 3 ArbZG</t>
        </is>
      </c>
      <c r="D27" s="26" t="inlineStr">
        <is>
          <t>ergänzen</t>
        </is>
      </c>
      <c r="E27" s="26" t="inlineStr">
        <is>
          <t>plausibel</t>
        </is>
      </c>
      <c r="F27" s="27" t="inlineStr">
        <is>
          <t>umgesetzt</t>
        </is>
      </c>
      <c r="G27" s="27" t="inlineStr">
        <is>
          <t>B-095: Untersuchung vor Beginn, alle 3 Jahre, ab 50 jährlich; Nachtzeit Bäckerei 22–5 Uhr.</t>
        </is>
      </c>
    </row>
    <row r="28" ht="15" customHeight="1" s="17">
      <c r="A28" s="26" t="inlineStr">
        <is>
          <t>Abscheider-Reinigung spätestens 14 Tage</t>
        </is>
      </c>
      <c r="B28" s="26" t="inlineStr">
        <is>
          <t>B-031</t>
        </is>
      </c>
      <c r="C28" s="26" t="inlineStr">
        <is>
          <t>DGUV Regel 110-003 Abschn. 3.3.3 – nicht verifiziert</t>
        </is>
      </c>
      <c r="D28" s="26" t="inlineStr">
        <is>
          <t>offen</t>
        </is>
      </c>
      <c r="E28" s="26" t="inlineStr">
        <is>
          <t>offen</t>
        </is>
      </c>
      <c r="F28" s="27" t="inlineStr">
        <is>
          <t>offen</t>
        </is>
      </c>
      <c r="G28" s="27" t="inlineStr">
        <is>
          <t>Nicht verifiziert: Text jetzt „nach Herstellerangabe und Verschmutzung“ (Alternative der Korrektur); „fachlich zu prüfen“ bleibt (T-150).</t>
        </is>
      </c>
    </row>
    <row r="29" ht="15" customHeight="1" s="17">
      <c r="A29" s="26" t="inlineStr">
        <is>
          <t>Sonnenschutz LSF 30, alle 2 Std.</t>
        </is>
      </c>
      <c r="B29" s="26" t="inlineStr">
        <is>
          <t>B-050</t>
        </is>
      </c>
      <c r="C29" s="26" t="inlineStr">
        <is>
          <t>BG BAU</t>
        </is>
      </c>
      <c r="D29" s="26" t="inlineStr">
        <is>
          <t>plausibel</t>
        </is>
      </c>
      <c r="E29" s="26" t="inlineStr">
        <is>
          <t>plausibel</t>
        </is>
      </c>
      <c r="F29" s="27" t="inlineStr">
        <is>
          <t>umgesetzt</t>
        </is>
      </c>
      <c r="G29" s="27" t="inlineStr">
        <is>
          <t>Unverändert in B-050; Quelle BG BAU beibehalten.</t>
        </is>
      </c>
    </row>
  </sheetData>
  <autoFilter ref="A1:E2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19"/>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2" customWidth="1" style="16" min="1" max="1"/>
    <col width="46" customWidth="1" style="16" min="2" max="2"/>
    <col width="80" customWidth="1" style="16" min="3" max="3"/>
    <col width="10" customWidth="1" style="16" min="4" max="4"/>
    <col width="34" customWidth="1" style="16" min="5" max="5"/>
    <col width="14" customWidth="1" style="16" min="6" max="6"/>
    <col width="48" customWidth="1" style="17" min="7" max="7"/>
  </cols>
  <sheetData>
    <row r="1" ht="31.5" customHeight="1" s="17">
      <c r="A1" s="25" t="inlineStr">
        <is>
          <t>Vorlage</t>
        </is>
      </c>
      <c r="B1" s="25" t="inlineStr">
        <is>
          <t>Befund</t>
        </is>
      </c>
      <c r="C1" s="25" t="inlineStr">
        <is>
          <t>Empfehlung</t>
        </is>
      </c>
      <c r="D1" s="25" t="inlineStr">
        <is>
          <t>Priorität</t>
        </is>
      </c>
      <c r="E1" s="25" t="inlineStr">
        <is>
          <t>Fundstelle</t>
        </is>
      </c>
      <c r="F1" s="25" t="inlineStr">
        <is>
          <t>Umsetzung (Anbieter)</t>
        </is>
      </c>
      <c r="G1" s="25" t="inlineStr">
        <is>
          <t>Bemerkung Anbieter</t>
        </is>
      </c>
    </row>
    <row r="2" ht="22.35" customHeight="1" s="17">
      <c r="A2" s="26" t="inlineStr">
        <is>
          <t>Gefährdungsbeurteilung</t>
        </is>
      </c>
      <c r="B2" s="26" t="inlineStr">
        <is>
          <t>Gliederung nach § 5 Abs. 3 Nr. 1–6 ArbSchG + „Sonstige“ ist zulässig.</t>
        </is>
      </c>
      <c r="C2" s="26" t="inlineStr">
        <is>
          <t>Unterpunkte in „Sonstige“ fest vorgeben: Brand- und Explosionsgefährdung, elektrische Gefährdung, Notfallorganisation (Erste Hilfe, Flucht). Alternativ die 11 Gefährdungsfaktoren der GDA/BAuA als Raster.</t>
        </is>
      </c>
      <c r="D2" s="26" t="inlineStr">
        <is>
          <t>hoch</t>
        </is>
      </c>
      <c r="E2" s="26" t="inlineStr">
        <is>
          <t>GDA-Leitlinie Gefährdungsbeurteilung; BAuA-Handbuch</t>
        </is>
      </c>
      <c r="F2" s="27" t="inlineStr">
        <is>
          <t>umgesetzt</t>
        </is>
      </c>
      <c r="G2" s="27" t="inlineStr">
        <is>
          <t>Feste Unterpunkte bei „Sonstige“: Brand/Explosion, Elektrik, Notfallorganisation – im Formular (Auswahl) und auf dem leeren Blatt; die sechs Faktoren bleiben.</t>
        </is>
      </c>
    </row>
    <row r="3" ht="22.35" customHeight="1" s="17">
      <c r="A3" s="26" t="inlineStr">
        <is>
          <t>Gefährdungsbeurteilung</t>
        </is>
      </c>
      <c r="B3" s="26" t="inlineStr">
        <is>
          <t>Spalten Gefährdung / Risiko / Maßnahmen / Wer–bis wann / Erledigt am reichen für eine BG-Besichtigung im Grundsatz.</t>
        </is>
      </c>
      <c r="C3" s="26" t="inlineStr">
        <is>
          <t>Je Maßnahme zusätzlich „Wirksamkeit geprüft am / von“ (heute nur einmal am Ende). Optional „Risiko nach Maßnahme“.</t>
        </is>
      </c>
      <c r="D3" s="26" t="inlineStr">
        <is>
          <t>mittel</t>
        </is>
      </c>
      <c r="E3" s="26" t="inlineStr">
        <is>
          <t>§ 3 Abs. 1, § 6 ArbSchG</t>
        </is>
      </c>
      <c r="F3" s="27" t="inlineStr">
        <is>
          <t>umgesetzt</t>
        </is>
      </c>
      <c r="G3" s="27" t="inlineStr">
        <is>
          <t>Je Maßnahme „Wirksamkeit geprüft am / von“ und optional „Risiko nach Maßnahme“.</t>
        </is>
      </c>
    </row>
    <row r="4" ht="22.35" customHeight="1" s="17">
      <c r="A4" s="26" t="inlineStr">
        <is>
          <t>Gefährdungsbeurteilung</t>
        </is>
      </c>
      <c r="B4" s="26" t="inlineStr">
        <is>
          <t>Abschnitt zu Art, Umfang und Fristen der Prüfungen von Arbeitsmitteln fehlt.</t>
        </is>
      </c>
      <c r="C4" s="26" t="inlineStr">
        <is>
          <t>Tabelle „Prüfungen“: Arbeitsmittel, Prüfart, Frist, befähigte Person – verknüpft mit Prüfprotokoll und Katalog.</t>
        </is>
      </c>
      <c r="D4" s="26" t="inlineStr">
        <is>
          <t>hoch</t>
        </is>
      </c>
      <c r="E4" s="26" t="inlineStr">
        <is>
          <t>§ 3 Abs. 6 BetrSichV</t>
        </is>
      </c>
      <c r="F4" s="27" t="inlineStr">
        <is>
          <t>umgesetzt</t>
        </is>
      </c>
      <c r="G4" s="27" t="inlineStr">
        <is>
          <t>Abschnitt „Prüfungen der Arbeitsmittel“ (§ 3 Abs. 6 BetrSichV) mit Arbeitsmittel, Prüfart, Frist, befähigte Person, letzte/nächste Prüfung und Vorschlägen mit Quelle.</t>
        </is>
      </c>
    </row>
    <row r="5" ht="22.35" customHeight="1" s="17">
      <c r="A5" s="26" t="inlineStr">
        <is>
          <t>Gefährdungsbeurteilung</t>
        </is>
      </c>
      <c r="B5" s="26" t="inlineStr">
        <is>
          <t>Personengruppen fehlen im Kopf.</t>
        </is>
      </c>
      <c r="C5" s="26" t="inlineStr">
        <is>
          <t>Feld „Besonders schutzbedürftige Personen“: Jugendliche, Schwangere/Stillende, Leiharbeit, Fremdfirmen, Menschen mit Behinderung.</t>
        </is>
      </c>
      <c r="D5" s="26" t="inlineStr">
        <is>
          <t>mittel</t>
        </is>
      </c>
      <c r="E5" s="26" t="inlineStr">
        <is>
          <t>§ 4 Nr. 6 ArbSchG</t>
        </is>
      </c>
      <c r="F5" s="27" t="inlineStr">
        <is>
          <t>umgesetzt</t>
        </is>
      </c>
      <c r="G5" s="27" t="inlineStr">
        <is>
          <t>Feld „Besonders schutzbedürftige Personen (§ 4 Nr. 6 ArbSchG)“ mit den fünf Gruppen, auf dem leeren Blatt zum Ankreuzen.</t>
        </is>
      </c>
    </row>
    <row r="6" ht="15" customHeight="1" s="17">
      <c r="A6" s="26" t="inlineStr">
        <is>
          <t>Gefährdungsbeurteilung</t>
        </is>
      </c>
      <c r="B6" s="26" t="inlineStr">
        <is>
          <t>Hilfetext STOP nennt Substitution nicht.</t>
        </is>
      </c>
      <c r="C6" s="26" t="inlineStr">
        <is>
          <t>„Substitution vor technisch vor organisatorisch vor persönlich (STOP)“ – mit Beispiel.</t>
        </is>
      </c>
      <c r="D6" s="26" t="inlineStr">
        <is>
          <t>mittel</t>
        </is>
      </c>
      <c r="E6" s="26" t="inlineStr">
        <is>
          <t>§ 4 ArbSchG; § 7 Abs. 3 GefStoffV</t>
        </is>
      </c>
      <c r="F6" s="27" t="inlineStr">
        <is>
          <t>umgesetzt</t>
        </is>
      </c>
      <c r="G6" s="27" t="inlineStr">
        <is>
          <t>Hilfetext „STOP: Substitution vor technisch vor organisatorisch vor persönlich“ mit Beispiel.</t>
        </is>
      </c>
    </row>
    <row r="7" ht="15" customHeight="1" s="17">
      <c r="A7" s="26" t="inlineStr">
        <is>
          <t>Gefährdungsbeurteilung</t>
        </is>
      </c>
      <c r="B7" s="26" t="inlineStr">
        <is>
          <t>Risiko überall „mittel“ vorbelegt (siehe D).</t>
        </is>
      </c>
      <c r="C7" s="26" t="inlineStr">
        <is>
          <t>Feld leer starten, Pflichtauswahl.</t>
        </is>
      </c>
      <c r="D7" s="26" t="inlineStr">
        <is>
          <t>hoch</t>
        </is>
      </c>
      <c r="E7" s="26" t="inlineStr">
        <is>
          <t>—</t>
        </is>
      </c>
      <c r="F7" s="27" t="inlineStr">
        <is>
          <t>umgesetzt</t>
        </is>
      </c>
      <c r="G7" s="27" t="inlineStr">
        <is>
          <t>Keine Vorbelegung: Schwere und Wahrscheinlichkeit sind Pflicht (siehe D).</t>
        </is>
      </c>
    </row>
    <row r="8" ht="22.35" customHeight="1" s="17">
      <c r="A8" s="26" t="inlineStr">
        <is>
          <t>Gefährdungsbeurteilung</t>
        </is>
      </c>
      <c r="B8" s="26" t="inlineStr">
        <is>
          <t>Mutterschutz: drei Ergebnisse und Hinweise § 10 Abs. 2, § 14 Abs. 2, § 27 MuSchG korrekt.</t>
        </is>
      </c>
      <c r="C8" s="26" t="inlineStr">
        <is>
          <t>Hinweis ergänzen: bei Gefahrstoffen, Biostoffen, Lärm, Heben die Abschnitte §§ 9–12 MuSchG prüfen; Ergebnis „keine Schutzmaßnahmen“ bei diesen Bausteinen warnen (wie geplant).</t>
        </is>
      </c>
      <c r="D8" s="26" t="inlineStr">
        <is>
          <t>mittel</t>
        </is>
      </c>
      <c r="E8" s="26" t="inlineStr">
        <is>
          <t>§§ 10, 11 MuSchG</t>
        </is>
      </c>
      <c r="F8" s="27" t="inlineStr">
        <is>
          <t>umgesetzt</t>
        </is>
      </c>
      <c r="G8" s="27" t="inlineStr">
        <is>
          <t>Hinweis im Abschnitt Mutterschutz (§§ 9–12 MuSchG); Warnung bei „keine Schutzmaßnahmen“ um Biostoffe, Heben/Tragen, Strahlung erweitert. Fundstelle nach Rückmeldung 22.10.2026: § 14 Abs. 3 BioStoffV.</t>
        </is>
      </c>
    </row>
    <row r="9" ht="22.35" customHeight="1" s="17">
      <c r="A9" s="26" t="inlineStr">
        <is>
          <t>Unterweisungsnachweis</t>
        </is>
      </c>
      <c r="B9" s="26" t="inlineStr">
        <is>
          <t>Aufbau gut (Anlass, Sprache, Themen, Teilnahmeliste, nächster Termin).</t>
        </is>
      </c>
      <c r="C9" s="26" t="inlineStr">
        <is>
          <t>Feld „Verständnis geprüft durch (Fragen/Test)“; Feld „Unterweisung anhand Betriebsanweisung Nr.“</t>
        </is>
      </c>
      <c r="D9" s="26" t="inlineStr">
        <is>
          <t>mittel</t>
        </is>
      </c>
      <c r="E9" s="26" t="inlineStr">
        <is>
          <t>DGUV Information 211-005</t>
        </is>
      </c>
      <c r="F9" s="27" t="inlineStr">
        <is>
          <t>umgesetzt</t>
        </is>
      </c>
      <c r="G9" s="27" t="inlineStr">
        <is>
          <t>Felder „Verständnis geprüft durch“ und „Unterweisung anhand Betriebsanweisung Nr.“, im PDF.</t>
        </is>
      </c>
    </row>
    <row r="10" ht="32.8" customHeight="1" s="17">
      <c r="A10" s="26" t="inlineStr">
        <is>
          <t>Unterweisungsnachweis</t>
        </is>
      </c>
      <c r="B10" s="26" t="inlineStr">
        <is>
          <t>Eingetippter Name als Bestätigung.</t>
        </is>
      </c>
      <c r="C10" s="26" t="inlineStr">
        <is>
          <t>Für Gefahrstoffe/Biostoffe Unterschrift zwingend (§ 14 Abs. 2 GefStoffV, § 14 Abs. 2 BioStoffV) – App muss Papierunterschrift oder handschriftliche Signatur am Gerät verlangen; sonst formfrei, aber Beweiswert gering. Rechtliche Bewertung elektronischer Formen beim Anwalt.</t>
        </is>
      </c>
      <c r="D10" s="26" t="inlineStr">
        <is>
          <t>hoch</t>
        </is>
      </c>
      <c r="E10" s="26" t="inlineStr">
        <is>
          <t>§ 14 Abs. 2 GefStoffV (Stand 12/2025 nachgelesen)</t>
        </is>
      </c>
      <c r="F10" s="27" t="inlineStr">
        <is>
          <t>abweichend umgesetzt</t>
        </is>
      </c>
      <c r="G10" s="27" t="inlineStr">
        <is>
          <t>Gefahr-/Biostoff-Themen: Kasten „Unterschriften auf Papier nötig“, „Alle Pflichtangaben“ erst nach „Unterschriften auf Papier eingeholt“, PDF mit Hinweis und Unterschriftsspalte. Handschriftliche Signatur am Gerät nicht gebaut – nur Papier, bis die rechtliche Bewertung vorliegt (T-154). Fundstelle nach Rückmeldung 22.10.2026: § 14 Abs. 3 BioStoffV.</t>
        </is>
      </c>
    </row>
    <row r="11" ht="22.35" customHeight="1" s="17">
      <c r="A11" s="26" t="inlineStr">
        <is>
          <t>Unterweisungsnachweis</t>
        </is>
      </c>
      <c r="B11" s="26" t="inlineStr">
        <is>
          <t>Gefahrstoff-Unterweisung muss mündlich und arbeitsplatzbezogen sein.</t>
        </is>
      </c>
      <c r="C11" s="26" t="inlineStr">
        <is>
          <t>Hinweis im Hilfetext; reine App-/E-Learning-Unterweisung dafür nicht ausreichend.</t>
        </is>
      </c>
      <c r="D11" s="26" t="inlineStr">
        <is>
          <t>mittel</t>
        </is>
      </c>
      <c r="E11" s="26" t="inlineStr">
        <is>
          <t>§ 14 Abs. 2 GefStoffV</t>
        </is>
      </c>
      <c r="F11" s="27" t="inlineStr">
        <is>
          <t>umgesetzt</t>
        </is>
      </c>
      <c r="G11" s="27" t="inlineStr">
        <is>
          <t>Hilfetext: mündlich und arbeitsplatzbezogen, reine App-/E-Learning-Unterweisung reicht nicht.</t>
        </is>
      </c>
    </row>
    <row r="12" ht="22.35" customHeight="1" s="17">
      <c r="A12" s="26" t="inlineStr">
        <is>
          <t>Betriebsanweisung</t>
        </is>
      </c>
      <c r="B12" s="26" t="inlineStr">
        <is>
          <t>Gliederung entspricht TRGS 555 Nr. 3.2.2–3.2.8.</t>
        </is>
      </c>
      <c r="C12" s="26" t="inlineStr">
        <is>
          <t>Felder Signalwort und Piktogramme ergänzen (TRGS 555 Nr. 3.2.4 Abs. 3: „sollten ergänzend“ – ohne zulässig, aber üblich und erwartet). Feld „Beschäftigungsbeschränkungen“ (Jugendliche, Schwangere).</t>
        </is>
      </c>
      <c r="D12" s="26" t="inlineStr">
        <is>
          <t>mittel</t>
        </is>
      </c>
      <c r="E12" s="26" t="inlineStr">
        <is>
          <t>TRGS 555 Nr. 3.1, 3.2</t>
        </is>
      </c>
      <c r="F12" s="27" t="inlineStr">
        <is>
          <t>umgesetzt</t>
        </is>
      </c>
      <c r="G12" s="27" t="inlineStr">
        <is>
          <t>Felder Signalwort und Piktogramme (GHS01–GHS09) sowie Kasten „Beschäftigungsbeschränkungen“.</t>
        </is>
      </c>
    </row>
    <row r="13" ht="15" customHeight="1" s="17">
      <c r="A13" s="26" t="inlineStr">
        <is>
          <t>Betriebsanweisung</t>
        </is>
      </c>
      <c r="B13" s="26" t="inlineStr">
        <is>
          <t>Bausteine teils unbestimmt („ausreichend“, „viel Wasser“).</t>
        </is>
      </c>
      <c r="C13" s="26" t="inlineStr">
        <is>
          <t>Nach TRGS 555 Nr. 3.1 Abs. 9 konkret mit „müssen / dürfen nicht“ formulieren (B-157, B-164, B-174).</t>
        </is>
      </c>
      <c r="D13" s="26" t="inlineStr">
        <is>
          <t>mittel</t>
        </is>
      </c>
      <c r="E13" s="26" t="inlineStr">
        <is>
          <t>TRGS 555 Nr. 3.1 Abs. 9</t>
        </is>
      </c>
      <c r="F13" s="27" t="inlineStr">
        <is>
          <t>umgesetzt</t>
        </is>
      </c>
      <c r="G13" s="27" t="inlineStr">
        <is>
          <t>B-157, B-164, B-174 (sowie B-160, B-176, B-177) konkret mit Geboten formuliert.</t>
        </is>
      </c>
    </row>
    <row r="14" ht="22.35" customHeight="1" s="17">
      <c r="A14" s="26" t="inlineStr">
        <is>
          <t>Betriebsanweisung</t>
        </is>
      </c>
      <c r="B14" s="26" t="inlineStr">
        <is>
          <t>Keine Vorlage für Maschinen und Biostoffe.</t>
        </is>
      </c>
      <c r="C14" s="26" t="inlineStr">
        <is>
          <t>Vorlage Betriebsanweisung Arbeitsmittel (Aufschnittmaschine, Knetmaschine, Kreissäge, Hebebühne, Reifenmontiermaschine) und Biostoffe (Praxis, Kosmetik).</t>
        </is>
      </c>
      <c r="D14" s="26" t="inlineStr">
        <is>
          <t>hoch</t>
        </is>
      </c>
      <c r="E14" s="26" t="inlineStr">
        <is>
          <t>§ 12 Abs. 2 BetrSichV; § 14 Abs. 1 BioStoffV</t>
        </is>
      </c>
      <c r="F14" s="27" t="inlineStr">
        <is>
          <t>umgesetzt</t>
        </is>
      </c>
      <c r="G14" s="27" t="inlineStr">
        <is>
          <t>Neue Vorlagen „Betriebsanweisung Maschinen“ (betriebsanweisung_maschine, § 12 BetrSichV, Vorschläge für Aufschnitt-, Knetmaschine, Kreissäge, Hebebühne, Reifenmontiermaschine) und „Betriebsanweisung Biostoffe“ (betriebsanweisung_biostoffe, § 14 BioStoffV). Fundstelle nach Rückmeldung 22.10.2026: § 14 Abs. 3 BioStoffV.</t>
        </is>
      </c>
    </row>
    <row r="15" ht="32.8" customHeight="1" s="17">
      <c r="A15" s="26" t="inlineStr">
        <is>
          <t>Gefahrstoffverzeichnis</t>
        </is>
      </c>
      <c r="B15" s="26" t="inlineStr">
        <is>
          <t>Fünf Pflichtangaben vorhanden.</t>
        </is>
      </c>
      <c r="C15" s="26" t="inlineStr">
        <is>
          <t>Fundstelle § 6 Abs. 12 nach GefStoffV-Novelle (in Kraft 5.12.2024) gegenprüfen. Optional: Spalten „Substitution geprüft (Ergebnis)“, „Betriebsanweisung Nr.“, „krebserzeugend/reproduktionstoxisch 1A/1B“ (Expositionsverzeichnis § 10a).</t>
        </is>
      </c>
      <c r="D15" s="26" t="inlineStr">
        <is>
          <t>mittel</t>
        </is>
      </c>
      <c r="E15" s="26" t="inlineStr">
        <is>
          <t>§ 6 Abs. 12, § 10a GefStoffV n. F.</t>
        </is>
      </c>
      <c r="F15" s="27" t="inlineStr">
        <is>
          <t>abweichend umgesetzt</t>
        </is>
      </c>
      <c r="G15" s="27" t="inlineStr">
        <is>
          <t>Spalten CMR 1A/1B, Substitution geprüft, Betriebsanweisung Nr. ergänzt; neue Vorlage „Expositionsverzeichnis“ (§ 10a GefStoffV). Fundstelle § 6 Abs. 12 n. F. noch nicht gegengeprüft (T-155).</t>
        </is>
      </c>
    </row>
    <row r="16" ht="15" customHeight="1" s="17">
      <c r="A16" s="26" t="inlineStr">
        <is>
          <t>Gefahrstoffverzeichnis</t>
        </is>
      </c>
      <c r="B16" s="26" t="inlineStr">
        <is>
          <t>Mengenbereiche (eigene Formulierung).</t>
        </is>
      </c>
      <c r="C16" s="26" t="inlineStr">
        <is>
          <t>Brauchbar; Bezug klarstellen: „im Betrieb vorrätig (Lagermenge)“ oder „Jahresverbrauch“.</t>
        </is>
      </c>
      <c r="D16" s="26" t="inlineStr">
        <is>
          <t>gering</t>
        </is>
      </c>
      <c r="E16" s="26" t="inlineStr">
        <is>
          <t>—</t>
        </is>
      </c>
      <c r="F16" s="27" t="inlineStr">
        <is>
          <t>umgesetzt</t>
        </is>
      </c>
      <c r="G16" s="27" t="inlineStr">
        <is>
          <t>Bezug „Lagermenge“ im Feld und im Fußtext.</t>
        </is>
      </c>
    </row>
    <row r="17" ht="22.35" customHeight="1" s="17">
      <c r="A17" s="26" t="inlineStr">
        <is>
          <t>Hautschutzplan</t>
        </is>
      </c>
      <c r="B17" s="26" t="inlineStr">
        <is>
          <t>Spalten passend; Musterzeilen nur Friseur.</t>
        </is>
      </c>
      <c r="C17" s="26" t="inlineStr">
        <is>
          <t>Musterzeilen für Kosmetik/Nagel, Gastronomie, Gebäudereinigung, Praxis, Kfz, Bäckerei, Bau; Spalte „Händedesinfektion“ (Praxis/Kosmetik); Spalte „Handschuh: Material/Norm“.</t>
        </is>
      </c>
      <c r="D17" s="26" t="inlineStr">
        <is>
          <t>hoch</t>
        </is>
      </c>
      <c r="E17" s="26" t="inlineStr">
        <is>
          <t>TRGS 401</t>
        </is>
      </c>
      <c r="F17" s="27" t="inlineStr">
        <is>
          <t>umgesetzt</t>
        </is>
      </c>
      <c r="G17" s="27" t="inlineStr">
        <is>
          <t>Musterzeilen für Kosmetik/Nagel, Gastronomie, Gebäudereinigung, Praxis, Kfz, Bäckerei, Bau; Spalte Händedesinfektion (sobald genutzt); Handschuh-Material/Norm als Zeile in der Handschuh-Spalte. Inhalte noch nicht fachlich geprüft (T-153).</t>
        </is>
      </c>
    </row>
    <row r="18" ht="32.8" customHeight="1" s="17">
      <c r="A18" s="26" t="inlineStr">
        <is>
          <t>Prüfprotokoll elektrische Geräte</t>
        </is>
      </c>
      <c r="B18" s="26" t="inlineStr">
        <is>
          <t>Spalten SK, RPE, RISO, IPE/IB, Ergebnis, nächste Prüfung, Prüfgerät, Unterschrift vorhanden.</t>
        </is>
      </c>
      <c r="C18" s="26" t="inlineStr">
        <is>
          <t>Ergänzen: Grenzwert-Zeile (z. B. RPE ≤ 0,3 Ω bis 5 m, RISO ≥ 1 MΩ SK I / ≥ 2 MΩ SK II, IPE ≤ 3,5 mA, IB ≤ 0,5 mA – von EFK bestätigen), Messverfahren, Kalibrierdatum Prüfgerät, Qualifikation (EFK / EuP unter Leitung EFK), Prüfplakette; „Mangel – nicht verwenden“ drucken (T-95).</t>
        </is>
      </c>
      <c r="D18" s="26" t="inlineStr">
        <is>
          <t>hoch</t>
        </is>
      </c>
      <c r="E18" s="26" t="inlineStr">
        <is>
          <t>DIN EN 50678/50699; DGUV V3</t>
        </is>
      </c>
      <c r="F18" s="27" t="inlineStr">
        <is>
          <t>abweichend umgesetzt</t>
        </is>
      </c>
      <c r="G18" s="27" t="inlineStr">
        <is>
          <t>Grenzwert-Zeile, Messverfahren, Kalibrierdatum, Qualifikation (EFK / EuP), Prüfplakette und „Mangel – nicht verwenden“ umgesetzt; Grenzwerte von einer Elektrofachkraft noch zu bestätigen (T-151).</t>
        </is>
      </c>
    </row>
    <row r="19" ht="32.8" customHeight="1" s="17">
      <c r="A19" s="26" t="inlineStr">
        <is>
          <t>Prüfprotokoll elektrische Geräte</t>
        </is>
      </c>
      <c r="B19" s="26" t="inlineStr">
        <is>
          <t>App berechnet nächsten Termin aus Richtwert.</t>
        </is>
      </c>
      <c r="C19" s="26" t="inlineStr">
        <is>
          <t>Zulässig als Vorschlag, editierbar; Frist legt der Arbeitgeber in der GB fest. Keine automatische Verlängerung bis 1/2 Jahre ohne dokumentierte Fehlerquote &lt; 2 %. Im Beispiel-PDF ist „Nächste Prüfung“ = Prüfdatum – Berechnung prüfen.</t>
        </is>
      </c>
      <c r="D19" s="26" t="inlineStr">
        <is>
          <t>hoch</t>
        </is>
      </c>
      <c r="E19" s="26" t="inlineStr">
        <is>
          <t>§ 3 Abs. 6 BetrSichV; DGUV V3 DA Tab. 1B</t>
        </is>
      </c>
      <c r="F19" s="27" t="inlineStr">
        <is>
          <t>umgesetzt</t>
        </is>
      </c>
      <c r="G19" s="27" t="inlineStr">
        <is>
          <t>Termin nur als Vorschlag mit Hinweis „Frist legt der Arbeitgeber in der GB fest“, keine automatische Verlängerung; Hinweis, wenn ein eigenes Datum nicht nach dem Prüfdatum liegt; Beispiel-PDF ohne „nächste = Prüfdatum“.</t>
        </is>
      </c>
    </row>
  </sheetData>
  <autoFilter ref="A1:F1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N29"/>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7" customWidth="1" style="16" min="1" max="1"/>
    <col width="30" customWidth="1" style="16" min="2" max="2"/>
    <col width="28" customWidth="1" style="16" min="3" max="3"/>
    <col width="36" customWidth="1" style="16" min="4" max="5"/>
    <col width="26" customWidth="1" style="16" min="6" max="6"/>
    <col width="30" customWidth="1" style="16" min="7" max="7"/>
    <col width="9" customWidth="1" style="16" min="8" max="8"/>
    <col width="11" customWidth="1" style="16" min="9" max="9"/>
    <col width="70" customWidth="1" style="16" min="10" max="10"/>
    <col width="18" customWidth="1" style="16" min="11" max="11"/>
    <col width="12" customWidth="1" style="16" min="12" max="12"/>
    <col width="16" customWidth="1" style="16" min="13" max="13"/>
  </cols>
  <sheetData>
    <row r="1" ht="31.5" customHeight="1" s="17">
      <c r="A1" s="25" t="inlineStr">
        <is>
          <t>Nr</t>
        </is>
      </c>
      <c r="B1" s="25" t="inlineStr">
        <is>
          <t>ID</t>
        </is>
      </c>
      <c r="C1" s="25" t="inlineStr">
        <is>
          <t>Titel</t>
        </is>
      </c>
      <c r="D1" s="25" t="inlineStr">
        <is>
          <t>Kurz</t>
        </is>
      </c>
      <c r="E1" s="25" t="inlineStr">
        <is>
          <t>Auslöser (gekürzt)</t>
        </is>
      </c>
      <c r="F1" s="25" t="inlineStr">
        <is>
          <t>Rechtsgrundlage</t>
        </is>
      </c>
      <c r="G1" s="25" t="inlineStr">
        <is>
          <t>Sanktion</t>
        </is>
      </c>
      <c r="H1" s="25" t="inlineStr">
        <is>
          <t>Schwere</t>
        </is>
      </c>
      <c r="I1" s="25" t="inlineStr">
        <is>
          <t>Ergebnis</t>
        </is>
      </c>
      <c r="J1" s="25" t="inlineStr">
        <is>
          <t>Korrektur / Befund</t>
        </is>
      </c>
      <c r="K1" s="25" t="inlineStr">
        <is>
          <t>Bezug Prüfliste</t>
        </is>
      </c>
      <c r="L1" s="25" t="inlineStr">
        <is>
          <t>Prüfstand</t>
        </is>
      </c>
      <c r="M1" s="25" t="inlineStr">
        <is>
          <t>Umsetzung (Anbieter)</t>
        </is>
      </c>
      <c r="N1" s="33" t="inlineStr">
        <is>
          <t>Bemerkung Anbieter</t>
        </is>
      </c>
    </row>
    <row r="2" ht="32.8" customHeight="1" s="17">
      <c r="A2" s="26" t="inlineStr">
        <is>
          <t>D.42</t>
        </is>
      </c>
      <c r="B2" s="26" t="inlineStr">
        <is>
          <t>personal.arbeitszeit_aufzeichnung</t>
        </is>
      </c>
      <c r="C2" s="26" t="inlineStr">
        <is>
          <t>Arbeitszeit aufzeichnen</t>
        </is>
      </c>
      <c r="D2" s="26" t="inlineStr">
        <is>
          <t>Du zeichnest die Arbeitszeit deiner Beschäftigten auf.</t>
        </is>
      </c>
      <c r="E2" s="26" t="inlineStr">
        <is>
          <t>Du beschäftigst mindestens eine Person.</t>
        </is>
      </c>
      <c r="F2" s="26" t="inlineStr">
        <is>
          <t>§ 3 Abs. 2 Nr. 1 ArbSchG (BAG, 13.9.2022 – 1 ABR 22/21); § 16 Abs. 2 ArbZG</t>
        </is>
      </c>
      <c r="G2" s="26" t="inlineStr">
        <is>
          <t>Die Folgen sind noch nicht fachlich erfasst.</t>
        </is>
      </c>
      <c r="H2" s="26" t="inlineStr">
        <is>
          <t>mittel</t>
        </is>
      </c>
      <c r="I2" s="26" t="inlineStr">
        <is>
          <t>frei</t>
        </is>
      </c>
      <c r="J2" s="26" t="inlineStr">
        <is>
          <t>Fundstelle BAG 13.9.2022 – 1 ABR 22/21 korrekt.</t>
        </is>
      </c>
      <c r="K2" s="26" t="inlineStr">
        <is>
          <t>Sanktion offen (RA).</t>
        </is>
      </c>
      <c r="L2" s="26" t="inlineStr">
        <is>
          <t>plausibel</t>
        </is>
      </c>
      <c r="M2" s="27" t="inlineStr">
        <is>
          <t>umgesetzt</t>
        </is>
      </c>
      <c r="N2" s="16" t="inlineStr">
        <is>
          <t>Fundstelle BAG bestätigt, Prüfpunkt entfernt (v4)</t>
        </is>
      </c>
    </row>
    <row r="3" ht="74.59999999999999" customHeight="1" s="17">
      <c r="A3" s="26" t="inlineStr">
        <is>
          <t>D.42</t>
        </is>
      </c>
      <c r="B3" s="26" t="inlineStr">
        <is>
          <t>personal.arbeitszeit_neuregelung</t>
        </is>
      </c>
      <c r="C3" s="26" t="inlineStr">
        <is>
          <t>Elektronische Arbeitszeiterfassung (geplante Neuregelung)</t>
        </is>
      </c>
      <c r="D3" s="26" t="inlineStr">
        <is>
          <t>Geplant ist eine Pflicht zur elektronischen Arbeitszeiterfassung, mit Übergangsfristen nach Betriebsgröße.</t>
        </is>
      </c>
      <c r="E3" s="26" t="inlineStr">
        <is>
          <t>{"all":[{"feld":"abgeleitet.hat_beschaeftigte","op":"==","wert":true,"label":{"de":"Du beschäftigst mindestens eine Person."}},{"feld":"profil.beschaeftigte.gesamt","op":"&gt;","wert":10,"label":{"de":"Du beschäftigst mehr als 10 Personen."}}]}</t>
        </is>
      </c>
      <c r="F3" s="26" t="inlineStr">
        <is>
          <t>Referentenentwurf zur Änderung des ArbZG (BMAS, Juni 2026)</t>
        </is>
      </c>
      <c r="G3" s="26" t="inlineStr">
        <is>
          <t>Noch keine – geplante Regelung.</t>
        </is>
      </c>
      <c r="H3" s="26" t="inlineStr">
        <is>
          <t>mittel</t>
        </is>
      </c>
      <c r="I3" s="26" t="inlineStr">
        <is>
          <t>frei</t>
        </is>
      </c>
      <c r="J3" s="26" t="inlineStr">
        <is>
          <t>Entwurfsstatus beobachten – nicht Gegenstand der sicherheitstechnischen Prüfung.</t>
        </is>
      </c>
      <c r="K3" s="26" t="n"/>
      <c r="L3" s="26" t="inlineStr">
        <is>
          <t>offen</t>
        </is>
      </c>
      <c r="M3" s="27" t="inlineStr">
        <is>
          <t>offen</t>
        </is>
      </c>
      <c r="N3" s="16" t="inlineStr">
        <is>
          <t>Entwurfsstatus wird beobachtet (PRUEFLISTE T-137)</t>
        </is>
      </c>
    </row>
    <row r="4" ht="74.59999999999999" customHeight="1" s="17">
      <c r="A4" s="26" t="inlineStr">
        <is>
          <t>D.42</t>
        </is>
      </c>
      <c r="B4" s="26" t="inlineStr">
        <is>
          <t>personal.nachtarbeit</t>
        </is>
      </c>
      <c r="C4" s="26" t="inlineStr">
        <is>
          <t>Nachtarbeit: Untersuchung ermöglichen und ausgleichen</t>
        </is>
      </c>
      <c r="D4" s="26" t="inlineStr">
        <is>
          <t>Wer bei dir regelmäßig nachts arbeitet, kann sich vor Beginn und dann regelmäßig auf deine Kosten arbeitsmedizinisch untersuchen lassen und bekommt einen Ausgleich durch freie Tage oder Zuschlag.</t>
        </is>
      </c>
      <c r="E4" s="26" t="inlineStr">
        <is>
          <t>{"all":[{"feld":"abgeleitet.hat_beschaeftigte","op":"==","wert":true,"label":{"de":"Du beschäftigst mindestens eine Person."}},{"feld":"profil.arbeitszeit.nachtarbeit","op":"==","wert":true,"label":{"de":"Bei dir arbeitet jemand regelmäßig nachts."}}]}</t>
        </is>
      </c>
      <c r="F4" s="26" t="inlineStr">
        <is>
          <t>§ 2 Abs. 3–5 ArbZG; § 6 ArbZG</t>
        </is>
      </c>
      <c r="G4" s="26" t="inlineStr">
        <is>
          <t>Die Folgen sind noch nicht fachlich erfasst.</t>
        </is>
      </c>
      <c r="H4" s="26" t="inlineStr">
        <is>
          <t>mittel</t>
        </is>
      </c>
      <c r="I4" s="26" t="inlineStr">
        <is>
          <t>ändern</t>
        </is>
      </c>
      <c r="J4" s="26" t="inlineStr">
        <is>
          <t>Kurztext: „vor Beginn und danach alle 3 Jahre, ab 50 Jahren jährlich“ (§ 6 Abs. 3 ArbZG); Nachtarbeitnehmer-Definition § 2 Abs. 5 (Wechselschicht oder ≥ 48 Tage/Jahr).</t>
        </is>
      </c>
      <c r="K4" s="26" t="inlineStr">
        <is>
          <t>Auslöser „regelmäßig nachts“ an § 2 Abs. 5 ArbZG ausrichten.</t>
        </is>
      </c>
      <c r="L4" s="26" t="inlineStr">
        <is>
          <t>plausibel</t>
        </is>
      </c>
      <c r="M4" s="27" t="inlineStr">
        <is>
          <t>umgesetzt</t>
        </is>
      </c>
      <c r="N4" s="16" t="inlineStr">
        <is>
          <t>v2: Kurztext „vor Beginn und danach alle drei Jahre, ab 50 jährlich“ (§ 6 Abs. 3 ArbZG)</t>
        </is>
      </c>
    </row>
    <row r="5" ht="32.8" customHeight="1" s="17">
      <c r="A5" s="26" t="inlineStr">
        <is>
          <t>D.43</t>
        </is>
      </c>
      <c r="B5" s="26" t="inlineStr">
        <is>
          <t>personal.mutterschutz_gefaehrdungsbeurteilung</t>
        </is>
      </c>
      <c r="C5" s="26" t="inlineStr">
        <is>
          <t>Mutterschutz in der Gefährdungsbeurteilung</t>
        </is>
      </c>
      <c r="D5" s="26" t="inlineStr">
        <is>
          <t>Unabhängig davon, ob jemand schwanger ist, beurteilst du die Arbeitsplätze auch nach dem Mutterschutzgesetz.</t>
        </is>
      </c>
      <c r="E5" s="26" t="inlineStr">
        <is>
          <t>Du beschäftigst mindestens eine Person.</t>
        </is>
      </c>
      <c r="F5" s="26" t="inlineStr">
        <is>
          <t>§ 10 MuSchG</t>
        </is>
      </c>
      <c r="G5" s="26" t="inlineStr">
        <is>
          <t>Die Folgen sind noch nicht fachlich erfasst.</t>
        </is>
      </c>
      <c r="H5" s="26" t="inlineStr">
        <is>
          <t>mittel</t>
        </is>
      </c>
      <c r="I5" s="26" t="inlineStr">
        <is>
          <t>frei</t>
        </is>
      </c>
      <c r="J5" s="26" t="inlineStr">
        <is>
          <t>Frist wie E.50 bestätigt (anlassunabhängig).</t>
        </is>
      </c>
      <c r="K5" s="26" t="n"/>
      <c r="L5" s="26" t="inlineStr">
        <is>
          <t>plausibel</t>
        </is>
      </c>
      <c r="M5" s="27" t="inlineStr">
        <is>
          <t>umgesetzt</t>
        </is>
      </c>
      <c r="N5" s="16" t="inlineStr">
        <is>
          <t>Frist wie E.50 bestätigt, Prüfpunkte entfernt (v2).</t>
        </is>
      </c>
    </row>
    <row r="6" ht="22.35" customHeight="1" s="17">
      <c r="A6" s="26" t="inlineStr">
        <is>
          <t>D.43</t>
        </is>
      </c>
      <c r="B6" s="26" t="inlineStr">
        <is>
          <t>personal.schwangerschaft_mitteilung</t>
        </is>
      </c>
      <c r="C6" s="26" t="inlineStr">
        <is>
          <t>Schwangerschaft der Aufsichtsbehörde mitteilen</t>
        </is>
      </c>
      <c r="D6" s="26" t="inlineStr">
        <is>
          <t>Teilt dir eine Beschäftigte ihre Schwangerschaft mit, informierst du die Aufsichtsbehörde.</t>
        </is>
      </c>
      <c r="E6" s="26" t="inlineStr">
        <is>
          <t>Eine Beschäftigte hat dir ihre Schwangerschaft mitgeteilt.</t>
        </is>
      </c>
      <c r="F6" s="26" t="inlineStr">
        <is>
          <t>§ 27 MuSchG</t>
        </is>
      </c>
      <c r="G6" s="26" t="inlineStr">
        <is>
          <t>Bußgeld bis 5.000 € (§ 32 Abs. 1 Nr. 11, Abs. 2 MuSchG).</t>
        </is>
      </c>
      <c r="H6" s="26" t="inlineStr">
        <is>
          <t>hoch</t>
        </is>
      </c>
      <c r="I6" s="26" t="inlineStr">
        <is>
          <t>frei</t>
        </is>
      </c>
      <c r="J6" s="26" t="inlineStr">
        <is>
          <t>„unverzüglich“ (§ 27 Abs. 1 MuSchG) korrekt; Termin am Tag der Mitteilung vertretbar.</t>
        </is>
      </c>
      <c r="K6" s="26" t="n"/>
      <c r="L6" s="26" t="inlineStr">
        <is>
          <t>plausibel</t>
        </is>
      </c>
      <c r="M6" s="27" t="inlineStr">
        <is>
          <t>umgesetzt</t>
        </is>
      </c>
      <c r="N6" s="16" t="inlineStr">
        <is>
          <t>„unverzüglich“/Termin am Tag der Mitteilung bestätigt, Prüfpunkte entfernt (v3).</t>
        </is>
      </c>
    </row>
    <row r="7" ht="64.15000000000001" customHeight="1" s="17">
      <c r="A7" s="26" t="inlineStr">
        <is>
          <t>D.44</t>
        </is>
      </c>
      <c r="B7" s="26" t="inlineStr">
        <is>
          <t>personal.jugend_nachuntersuchung</t>
        </is>
      </c>
      <c r="C7" s="26" t="inlineStr">
        <is>
          <t>Ärztliche Nachuntersuchung Jugendlicher nach einem Jahr</t>
        </is>
      </c>
      <c r="D7" s="26" t="inlineStr">
        <is>
          <t>Ein Jahr nach Beginn lässt du dir von Jugendlichen die Bescheinigung über die erste Nachuntersuchung vorlegen.</t>
        </is>
      </c>
      <c r="E7" s="26" t="inlineStr">
        <is>
          <t>{"all":[{"feld":"profil.beschaeftigte.jugendlich","op":"&gt;=","wert":1,"label":{"de":"Du beschäftigst Jugendliche."}},{"ereignis":"einstellung","op":"eingetreten","label":{"de":"Du stellst jemanden ein."}}]}</t>
        </is>
      </c>
      <c r="F7" s="26" t="inlineStr">
        <is>
          <t>§ 33 JArbSchG</t>
        </is>
      </c>
      <c r="G7" s="26" t="inlineStr">
        <is>
          <t>Ohne Bescheinigung nach 14 Monaten darfst du die jugendliche Person nicht weiter beschäftigen (§ 33 Abs. 3 JArbSchG).</t>
        </is>
      </c>
      <c r="H7" s="26" t="inlineStr">
        <is>
          <t>hoch</t>
        </is>
      </c>
      <c r="I7" s="26" t="inlineStr">
        <is>
          <t>ändern</t>
        </is>
      </c>
      <c r="J7" s="26" t="inlineStr">
        <is>
          <t>Bezug ist die Aufnahme der ersten Beschäftigung (nicht jede Einstellung). Erinnerung nach 9 Monaten (Hinweispflicht § 33 Abs. 1 Satz 2), Bescheinigung nach 12 Monaten, Verbot ab 14 Monaten (§ 33 Abs. 3). Erstuntersuchung § 32 (≤ 14 Monate vor Beginn) als eigene Pflicht je Einstellung. Hinweis: BR-Drs. 735/25 (NRW) will §§ 32/33 ändern – nicht in Kraft.</t>
        </is>
      </c>
      <c r="K7" s="26" t="n"/>
      <c r="L7" s="26" t="inlineStr">
        <is>
          <t>plausibel</t>
        </is>
      </c>
      <c r="M7" s="27" t="inlineStr">
        <is>
          <t>abweichend umgesetzt</t>
        </is>
      </c>
      <c r="N7" s="16" t="inlineStr">
        <is>
          <t>v3: Bezug erste Beschäftigung im Text, Erinnerung 3 Monate vor Termin (= nach 9 Monaten), Termin 12 Monate, Verbot ab 14 Monaten</t>
        </is>
      </c>
    </row>
    <row r="8" ht="22.35" customHeight="1" s="17">
      <c r="A8" s="26" t="inlineStr">
        <is>
          <t>D.44</t>
        </is>
      </c>
      <c r="B8" s="26" t="inlineStr">
        <is>
          <t>personal.jugendarbeitsschutz</t>
        </is>
      </c>
      <c r="C8" s="26" t="inlineStr">
        <is>
          <t>Jugendarbeitsschutz beachten</t>
        </is>
      </c>
      <c r="D8" s="26" t="inlineStr">
        <is>
          <t>Für Jugendliche gelten Erstuntersuchung, Arbeitszeitgrenzen und eine Aushangpflicht.</t>
        </is>
      </c>
      <c r="E8" s="26" t="inlineStr">
        <is>
          <t>Du beschäftigst Jugendliche.</t>
        </is>
      </c>
      <c r="F8" s="26" t="inlineStr">
        <is>
          <t>JArbSchG</t>
        </is>
      </c>
      <c r="G8" s="26" t="inlineStr">
        <is>
          <t>Bußgeld bis 30.000 € (§ 58 Abs. 1, 4 JArbSchG).</t>
        </is>
      </c>
      <c r="H8" s="26" t="inlineStr">
        <is>
          <t>hoch</t>
        </is>
      </c>
      <c r="I8" s="26" t="inlineStr">
        <is>
          <t>frei</t>
        </is>
      </c>
      <c r="J8" s="26" t="inlineStr">
        <is>
          <t>Aushang § 47 und Arbeitszeitaushang § 48 JArbSchG nennen.</t>
        </is>
      </c>
      <c r="K8" s="26" t="n"/>
      <c r="L8" s="26" t="inlineStr">
        <is>
          <t>plausibel</t>
        </is>
      </c>
      <c r="M8" s="27" t="inlineStr">
        <is>
          <t>umgesetzt</t>
        </is>
      </c>
      <c r="N8" s="16" t="inlineStr">
        <is>
          <t>v5: § 47 (ab 1 Jugendlichem) und § 48 JArbSchG (laut Wortlaut erst ab 3 Jugendlichen) genannt.</t>
        </is>
      </c>
    </row>
    <row r="9" ht="64.15000000000001" customHeight="1" s="17">
      <c r="A9" s="26" t="inlineStr">
        <is>
          <t>D.46</t>
        </is>
      </c>
      <c r="B9" s="26" t="inlineStr">
        <is>
          <t>personal.fuehrerscheinkontrolle</t>
        </is>
      </c>
      <c r="C9" s="26" t="inlineStr">
        <is>
          <t>Führerscheine der Fahrerinnen und Fahrer kontrollieren</t>
        </is>
      </c>
      <c r="D9" s="26" t="inlineStr">
        <is>
          <t>Lässt du Beschäftigte mit Firmenfahrzeugen fahren, prüfst du vorher und danach regelmäßig, ob sie die nötige Fahrerlaubnis haben, und hältst das fest.</t>
        </is>
      </c>
      <c r="E9" s="26" t="inlineStr">
        <is>
          <t>{"all":[{"feld":"abgeleitet.hat_beschaeftigte","op":"==","wert":true,"label":{"de":"Du beschäftigst mindestens eine Person."}},{"feld":"profil.fahrzeuge.anzahl","op":"&gt;=","wert":1,"label":{"de":"Du nutzt Firmenfahrzeuge."}}]}</t>
        </is>
      </c>
      <c r="F9" s="26" t="inlineStr">
        <is>
          <t>§ 21 Abs. 1 Nr. 2 StVG</t>
        </is>
      </c>
      <c r="G9" s="26" t="inlineStr">
        <is>
          <t>Freiheitsstrafe bis zu einem Jahr oder Geldstrafe für den Halter, der das Fahren ohne Fahrerlaubnis anordnet oder zulässt (§ 21 Abs. 1 Nr. 2 StVG).</t>
        </is>
      </c>
      <c r="H9" s="26" t="inlineStr">
        <is>
          <t>hoch</t>
        </is>
      </c>
      <c r="I9" s="26" t="inlineStr">
        <is>
          <t>frei</t>
        </is>
      </c>
      <c r="J9" s="26" t="inlineStr">
        <is>
          <t>Halbjährlich ist Praxis, keine Rechtsfrist – so kennzeichnen.</t>
        </is>
      </c>
      <c r="K9" s="26" t="n"/>
      <c r="L9" s="26" t="inlineStr">
        <is>
          <t>plausibel</t>
        </is>
      </c>
      <c r="M9" s="27" t="inlineStr">
        <is>
          <t>umgesetzt</t>
        </is>
      </c>
      <c r="N9" s="16" t="inlineStr">
        <is>
          <t>Text kennzeichnet halbjährlich bereits als Praxis</t>
        </is>
      </c>
    </row>
    <row r="10" ht="32.8" customHeight="1" s="17">
      <c r="A10" s="26" t="inlineStr">
        <is>
          <t>D.48</t>
        </is>
      </c>
      <c r="B10" s="26" t="inlineStr">
        <is>
          <t>personal.aushangpflichtige_gesetze</t>
        </is>
      </c>
      <c r="C10" s="26" t="inlineStr">
        <is>
          <t>Aushangpflichtige Gesetze aushängen</t>
        </is>
      </c>
      <c r="D10" s="26" t="inlineStr">
        <is>
          <t>Je nach Belegschaft hängst du bestimmte Gesetze im Betrieb aus, zum Beispiel ArbZG, AGG, MuSchG und JArbSchG.</t>
        </is>
      </c>
      <c r="E10" s="26" t="inlineStr">
        <is>
          <t>Du beschäftigst mindestens eine Person.</t>
        </is>
      </c>
      <c r="F10" s="26" t="inlineStr">
        <is>
          <t>ArbZG; AGG; MuSchG; JArbSchG</t>
        </is>
      </c>
      <c r="G10" s="26" t="inlineStr">
        <is>
          <t>Die Folgen sind noch nicht fachlich erfasst.</t>
        </is>
      </c>
      <c r="H10" s="26" t="inlineStr">
        <is>
          <t>niedrig</t>
        </is>
      </c>
      <c r="I10" s="26" t="inlineStr">
        <is>
          <t>ändern</t>
        </is>
      </c>
      <c r="J10" s="26" t="inlineStr">
        <is>
          <t>Liste je Belegschaft: ArbZG (§ 16 Abs. 1), AGG + Beschwerdestelle (§ 12 Abs. 5), MuSchG ab regelmäßig mehr als 3 Frauen (§ 26), JArbSchG ab 1 Jugendlichem (§§ 47, 48); dazu Unfallverhütungsvorschriften zugänglich (§ 12 DGUV V1) und Erste-Hilfe-Aushang.</t>
        </is>
      </c>
      <c r="K10" s="26" t="n"/>
      <c r="L10" s="26" t="inlineStr">
        <is>
          <t>plausibel</t>
        </is>
      </c>
      <c r="M10" s="27" t="inlineStr">
        <is>
          <t>abweichend umgesetzt</t>
        </is>
      </c>
      <c r="N10" s="16" t="inlineStr">
        <is>
          <t>v2: Liste je Belegschaft (§ 16 Abs. 1 ArbZG, § 12 Abs. 5 AGG, § 26 MuSchG &gt; 3 Frauen, §§ 47/48 JArbSchG, § 12 DGUV V1, Erste-Hilfe-Aushang § 24 Abs. 5 DGUV V1)</t>
        </is>
      </c>
    </row>
    <row r="11" ht="95.5" customHeight="1" s="17">
      <c r="A11" s="26" t="inlineStr">
        <is>
          <t>E.50</t>
        </is>
      </c>
      <c r="B11" s="26" t="inlineStr">
        <is>
          <t>arbeitsschutz.gefaehrdungsbeurteilung</t>
        </is>
      </c>
      <c r="C11" s="26" t="inlineStr">
        <is>
          <t>Gefährdungsbeurteilung erstellen</t>
        </is>
      </c>
      <c r="D11" s="26" t="inlineStr">
        <is>
          <t>Bevor jemand bei dir arbeitet, schreibst du auf, welche Gefahren es an den Arbeitsplätzen gibt und was du dagegen tust.</t>
        </is>
      </c>
      <c r="E11" s="26" t="inlineStr">
        <is>
          <t>{"all":[{"feld":"profil.beschaeftigte.gesamt","op":"&gt;=","wert":1,"label":{"de":"Du beschäftigst mindestens eine Person."}}]}</t>
        </is>
      </c>
      <c r="F11" s="26" t="inlineStr">
        <is>
          <t>§ 5 ArbSchG; § 6 ArbSchG</t>
        </is>
      </c>
      <c r="G11" s="26" t="inlineStr">
        <is>
          <t>Fehlt die Dokumentation oder ist sie unrichtig, unvollständig oder nicht rechtzeitig erstellt, droht direkt ein Bußgeld bis 5.000 € (§ 9 Abs. 1 Nr. 1 ArbStättV in Verbindung mit § 25 Abs. 1 Nr. 1 ArbSchG; ebenso § 22 BetrSichV und § 22 GefStoffV). Bei Arbeitsunfällen besteht außerdem ein Haftungsrisiko.</t>
        </is>
      </c>
      <c r="H11" s="26" t="inlineStr">
        <is>
          <t>hoch</t>
        </is>
      </c>
      <c r="I11" s="26" t="inlineStr">
        <is>
          <t>frei</t>
        </is>
      </c>
      <c r="J11" s="26" t="inlineStr">
        <is>
          <t>Auslöser, Frist und Sanktion plausibel (§ 9 Abs. 1 Nr. 1 ArbStättV i. V. m. § 25 Abs. 1 Nr. 1, Abs. 2 ArbSchG; § 22 BetrSichV; § 22 GefStoffV – Nummern gegenprüfen). Anlässe für Neuauslösung wie B-117.</t>
        </is>
      </c>
      <c r="K11" s="26" t="inlineStr">
        <is>
          <t>K-033–K-037</t>
        </is>
      </c>
      <c r="L11" s="26" t="inlineStr">
        <is>
          <t>plausibel</t>
        </is>
      </c>
      <c r="M11" s="27" t="inlineStr">
        <is>
          <t>umgesetzt</t>
        </is>
      </c>
      <c r="N11" s="16" t="inlineStr">
        <is>
          <t>v6: Anlässe nach B-117 im Text, Neuauslösung zusätzlich bei Mitteilung einer Schwangerschaft</t>
        </is>
      </c>
    </row>
    <row r="12" ht="43.25" customHeight="1" s="17">
      <c r="A12" s="26" t="inlineStr">
        <is>
          <t>E.51</t>
        </is>
      </c>
      <c r="B12" s="26" t="inlineStr">
        <is>
          <t>arbeitsschutz.erstunterweisung</t>
        </is>
      </c>
      <c r="C12" s="26" t="inlineStr">
        <is>
          <t>Vor Arbeitsbeginn unterweisen</t>
        </is>
      </c>
      <c r="D12" s="26" t="inlineStr">
        <is>
          <t>Jede neue Person unterweist du vor dem ersten Arbeitstag zu den Gefahren und Schutzmaßnahmen.</t>
        </is>
      </c>
      <c r="E12" s="26" t="inlineStr">
        <is>
          <t>Du stellst jemanden ein.</t>
        </is>
      </c>
      <c r="F12" s="26" t="inlineStr">
        <is>
          <t>§ 12 ArbSchG; DGUV Vorschrift 1</t>
        </is>
      </c>
      <c r="G12" s="26" t="inlineStr">
        <is>
          <t>Die Folgen sind noch nicht fachlich erfasst.</t>
        </is>
      </c>
      <c r="H12" s="26" t="inlineStr">
        <is>
          <t>mittel</t>
        </is>
      </c>
      <c r="I12" s="26" t="inlineStr">
        <is>
          <t>ändern</t>
        </is>
      </c>
      <c r="J12" s="26" t="inlineStr">
        <is>
          <t>Text: „vor Aufnahme der Tätigkeit“ – rechtlich genügt der erste Arbeitstag vor Arbeitsbeginn; Erinnerung am Vortag als App-Logik ok, aber nicht als Rechtsfrist darstellen (G-14/K-020). Sanktion: § 12 ArbSchG nicht unmittelbar bußgeldbewehrt; Spezialnormen GefStoffV/BioStoffV/BetrSichV § 22 – gegenprüfen.</t>
        </is>
      </c>
      <c r="K12" s="26" t="n"/>
      <c r="L12" s="26" t="inlineStr">
        <is>
          <t>plausibel</t>
        </is>
      </c>
      <c r="M12" s="27" t="inlineStr">
        <is>
          <t>umgesetzt</t>
        </is>
      </c>
      <c r="N12" s="16" t="inlineStr">
        <is>
          <t>v3: „vor Aufnahme der Tätigkeit“, Termin = erster Arbeitstag, Erinnerung am Vortag (nicht als Rechtsfrist)</t>
        </is>
      </c>
    </row>
    <row r="13" ht="32.8" customHeight="1" s="17">
      <c r="A13" s="26" t="inlineStr">
        <is>
          <t>E.51</t>
        </is>
      </c>
      <c r="B13" s="26" t="inlineStr">
        <is>
          <t>arbeitsschutz.unterweisung_jugendliche</t>
        </is>
      </c>
      <c r="C13" s="26" t="inlineStr">
        <is>
          <t>Jugendliche halbjährlich unterweisen</t>
        </is>
      </c>
      <c r="D13" s="26" t="inlineStr">
        <is>
          <t>Beschäftigte unter 18 unterweist du vor Beginn und danach mindestens alle sechs Monate über Unfall- und Gesundheitsgefahren.</t>
        </is>
      </c>
      <c r="E13" s="26" t="inlineStr">
        <is>
          <t>Du beschäftigst Jugendliche.</t>
        </is>
      </c>
      <c r="F13" s="26" t="inlineStr">
        <is>
          <t>§ 29 JArbSchG</t>
        </is>
      </c>
      <c r="G13" s="26" t="inlineStr">
        <is>
          <t>Die Folgen sind noch nicht fachlich erfasst.</t>
        </is>
      </c>
      <c r="H13" s="26" t="inlineStr">
        <is>
          <t>mittel</t>
        </is>
      </c>
      <c r="I13" s="26" t="inlineStr">
        <is>
          <t>ändern</t>
        </is>
      </c>
      <c r="J13" s="26" t="inlineStr">
        <is>
          <t>Frist je Jugendlichem führen (nicht betriebsweit); Basis = letzte Unterweisung dieser Person.</t>
        </is>
      </c>
      <c r="K13" s="26" t="inlineStr">
        <is>
          <t>K-045</t>
        </is>
      </c>
      <c r="L13" s="26" t="inlineStr">
        <is>
          <t>plausibel</t>
        </is>
      </c>
      <c r="M13" s="27" t="inlineStr">
        <is>
          <t>offen</t>
        </is>
      </c>
      <c r="N13" s="16" t="inlineStr">
        <is>
          <t>v2: Text sagt „je Jugendlichem ab letzter Unterweisung“</t>
        </is>
      </c>
    </row>
    <row r="14" ht="32.8" customHeight="1" s="17">
      <c r="A14" s="26" t="inlineStr">
        <is>
          <t>E.51</t>
        </is>
      </c>
      <c r="B14" s="26" t="inlineStr">
        <is>
          <t>arbeitsschutz.unterweisung_wiederholen</t>
        </is>
      </c>
      <c r="C14" s="26" t="inlineStr">
        <is>
          <t>Unterweisung jährlich wiederholen</t>
        </is>
      </c>
      <c r="D14" s="26" t="inlineStr">
        <is>
          <t>Mindestens einmal im Jahr wiederholst du die Unterweisung.</t>
        </is>
      </c>
      <c r="E14" s="26" t="inlineStr">
        <is>
          <t>Du beschäftigst mindestens eine Person.</t>
        </is>
      </c>
      <c r="F14" s="26" t="inlineStr">
        <is>
          <t>§ 12 ArbSchG; DGUV Vorschrift 1</t>
        </is>
      </c>
      <c r="G14" s="26" t="inlineStr">
        <is>
          <t>Die Folgen sind noch nicht fachlich erfasst.</t>
        </is>
      </c>
      <c r="H14" s="26" t="inlineStr">
        <is>
          <t>mittel</t>
        </is>
      </c>
      <c r="I14" s="26" t="inlineStr">
        <is>
          <t>frei</t>
        </is>
      </c>
      <c r="J14" s="26" t="inlineStr">
        <is>
          <t>„mindestens einmal jährlich“ (§ 4 Abs. 1 DGUV V1) – Umsetzung „ein Jahr nach letzter“ ok.</t>
        </is>
      </c>
      <c r="K14" s="26" t="inlineStr">
        <is>
          <t>Rechtsgrundlage um § 4 Abs. 1 DGUV V1 präzisieren.</t>
        </is>
      </c>
      <c r="L14" s="26" t="inlineStr">
        <is>
          <t>plausibel</t>
        </is>
      </c>
      <c r="M14" s="27" t="inlineStr">
        <is>
          <t>umgesetzt</t>
        </is>
      </c>
      <c r="N14" s="16" t="inlineStr">
        <is>
          <t>v4: Rechtsgrundlage § 4 Abs. 1 DGUV V1.</t>
        </is>
      </c>
    </row>
    <row r="15" ht="64.15000000000001" customHeight="1" s="17">
      <c r="A15" s="26" t="inlineStr">
        <is>
          <t>E.52</t>
        </is>
      </c>
      <c r="B15" s="26" t="inlineStr">
        <is>
          <t>arbeitsschutz.fahrer_unterweisung</t>
        </is>
      </c>
      <c r="C15" s="26" t="inlineStr">
        <is>
          <t>Fahrerinnen und Fahrer beauftragen, unterweisen und Ladung sichern</t>
        </is>
      </c>
      <c r="D15" s="26" t="inlineStr">
        <is>
          <t>Firmenfahrzeuge lässt du nur von geeigneten, unterwiesenen Personen fahren, die du ausdrücklich beauftragst – und sorgst dafür, dass die Ladung gesichert ist.</t>
        </is>
      </c>
      <c r="E15" s="26" t="inlineStr">
        <is>
          <t>{"all":[{"feld":"abgeleitet.hat_beschaeftigte","op":"==","wert":true,"label":{"de":"Du beschäftigst mindestens eine Person."}},{"feld":"profil.fahrzeuge.anzahl","op":"&gt;=","wert":1,"label":{"de":"Du nutzt Firmenfahrzeuge."}}]}</t>
        </is>
      </c>
      <c r="F15" s="26" t="inlineStr">
        <is>
          <t>§ 35 DGUV Vorschrift 70; § 22 Abs. 1 StVO</t>
        </is>
      </c>
      <c r="G15" s="26" t="inlineStr">
        <is>
          <t>Die Folgen sind noch nicht fachlich erfasst.</t>
        </is>
      </c>
      <c r="H15" s="26" t="inlineStr">
        <is>
          <t>mittel</t>
        </is>
      </c>
      <c r="I15" s="26" t="inlineStr">
        <is>
          <t>frei</t>
        </is>
      </c>
      <c r="J15" s="26" t="inlineStr">
        <is>
          <t>§ 35 DGUV V70 verlangt Bestimmung durch Unternehmer; Schriftform empfohlen, nicht vorgeschrieben.</t>
        </is>
      </c>
      <c r="K15" s="26" t="n"/>
      <c r="L15" s="26" t="inlineStr">
        <is>
          <t>plausibel</t>
        </is>
      </c>
      <c r="M15" s="27" t="inlineStr">
        <is>
          <t>umgesetzt</t>
        </is>
      </c>
      <c r="N15" s="16" t="inlineStr">
        <is>
          <t>v2: Schriftform empfohlen, nicht vorgeschrieben (Text).</t>
        </is>
      </c>
    </row>
    <row r="16" ht="64.15000000000001" customHeight="1" s="17">
      <c r="A16" s="26" t="inlineStr">
        <is>
          <t>E.52</t>
        </is>
      </c>
      <c r="B16" s="26" t="inlineStr">
        <is>
          <t>arbeitsschutz.fasi_betriebsarzt</t>
        </is>
      </c>
      <c r="C16" s="26" t="inlineStr">
        <is>
          <t>Fachkraft für Arbeitssicherheit und Betriebsarzt</t>
        </is>
      </c>
      <c r="D16" s="26" t="inlineStr">
        <is>
          <t>Betriebe mit Beschäftigten brauchen eine sicherheitstechnische und betriebsärztliche Betreuung – Kleinbetriebe auch im Unternehmermodell.</t>
        </is>
      </c>
      <c r="E16" s="26" t="inlineStr">
        <is>
          <t>Du beschäftigst mindestens eine Person.</t>
        </is>
      </c>
      <c r="F16" s="26" t="inlineStr">
        <is>
          <t>ASiG; DGUV Vorschrift 2</t>
        </is>
      </c>
      <c r="G16" s="26" t="inlineStr">
        <is>
          <t>Die Folgen sind noch nicht fachlich erfasst.</t>
        </is>
      </c>
      <c r="H16" s="26" t="inlineStr">
        <is>
          <t>mittel</t>
        </is>
      </c>
      <c r="I16" s="26" t="inlineStr">
        <is>
          <t>ändern</t>
        </is>
      </c>
      <c r="J16" s="26" t="inlineStr">
        <is>
          <t>Text: „Ab dem ersten Beschäftigten Pflicht. Wahl: Regelbetreuung (DGUV V2 Anlage 1 – Grundbetreuung + anlassbezogen) oder, je nach BG, alternative bedarfsorientierte Betreuung (Unternehmermodell; meist bis 50 Beschäftigte, z. B. BGN &gt; 10 bis 50, darunter Kompetenzzentren-Modell). Im Unternehmermodell: Teilnahme an Schulungen und anlassbezogene Betreuung.“ Sanktion: Bußgeldvorschrift der DGUV V2 i. V. m. § 209 Abs. 1 Nr. 1 SGB VII (bis 10.000 €) – Paragraf je BG prüfen. Schwere wieder „hoch“.</t>
        </is>
      </c>
      <c r="K16" s="26" t="inlineStr">
        <is>
          <t>Frage 13</t>
        </is>
      </c>
      <c r="L16" s="26" t="inlineStr">
        <is>
          <t>plausibel</t>
        </is>
      </c>
      <c r="M16" s="27" t="inlineStr">
        <is>
          <t>umgesetzt</t>
        </is>
      </c>
      <c r="N16" s="16" t="inlineStr">
        <is>
          <t>v3: Text nach Korrektur und Frage 13 (Regelbetreuung/Unternehmermodell, BGN-Beispiel, Hinweis ohne Betreuung, BR-Drs. 735/25)</t>
        </is>
      </c>
    </row>
    <row r="17" ht="95.5" customHeight="1" s="17">
      <c r="A17" s="26" t="inlineStr">
        <is>
          <t>E.53</t>
        </is>
      </c>
      <c r="B17" s="26" t="inlineStr">
        <is>
          <t>arbeitsschutz.arbeitsmittel_pruefen</t>
        </is>
      </c>
      <c r="C17" s="26" t="inlineStr">
        <is>
          <t>Arbeitsmittel prüfen lassen</t>
        </is>
      </c>
      <c r="D17" s="26" t="inlineStr">
        <is>
          <t>Maschinen, Leitern, Hebebühnen, Druckbehälter und andere Arbeitsmittel lässt du regelmäßig durch eine befähigte Person prüfen und hältst das fest.</t>
        </is>
      </c>
      <c r="E17" s="26" t="inlineStr">
        <is>
          <t>{"all":[{"feld":"abgeleitet.hat_beschaeftigte","op":"==","wert":true,"label":{"de":"Du beschäftigst mindestens eine Person."}},{"feld":"profil.taetigkeit.branchen","op":"enthaelt_eines","wert":["handwerk","bau","gebaeudereinigung"],"label":{"de":"In deiner Branche arbeitet ihr mit Maschinen, Leitern</t>
        </is>
      </c>
      <c r="F17" s="26" t="inlineStr">
        <is>
          <t>§ 3 Abs. 6 BetrSichV; § 14 BetrSichV; §§ 15, 16 BetrSichV; Anhang 2 Abschnitt 4 BetrSichV; DGUV Grundsatz 308-002</t>
        </is>
      </c>
      <c r="G17" s="26" t="inlineStr">
        <is>
          <t>Bußgeld bis 5.000 €, wenn ein Arbeitsmittel nicht oder nicht rechtzeitig geprüft wird (§ 22 Abs. 1 Nr. 28 BetrSichV in Verbindung mit § 25 Abs. 1 Nr. 1, Abs. 2 ArbSchG).</t>
        </is>
      </c>
      <c r="H17" s="26" t="inlineStr">
        <is>
          <t>hoch</t>
        </is>
      </c>
      <c r="I17" s="26" t="inlineStr">
        <is>
          <t>ändern</t>
        </is>
      </c>
      <c r="J17" s="26" t="inlineStr">
        <is>
          <t>Auslöser auf alle Betriebe mit Beschäftigten erweitern (Leitern, Regale, Küchenmaschinen, Hebebühnen, Kompressoren, Schankanlagen); Kfz ausdrücklich. Druckbehälter-Schwellen (Anhang 2 Abschn. 4 BetrSichV) durch Sachverständigen bestätigen lassen.</t>
        </is>
      </c>
      <c r="K17" s="26" t="inlineStr">
        <is>
          <t>K-006–K-011</t>
        </is>
      </c>
      <c r="L17" s="26" t="inlineStr">
        <is>
          <t>offen</t>
        </is>
      </c>
      <c r="M17" s="27" t="inlineStr">
        <is>
          <t>abweichend umgesetzt</t>
        </is>
      </c>
      <c r="N17" s="16" t="inlineStr">
        <is>
          <t>v4: Auslöser alle Betriebe mit Beschäftigten, Leitern/Regale/Küchenmaschinen/Kompressoren/Schankanlagen/Kfz-Hebebühnen im Text, DGUV I 208-016 und DIN EN 15635 aufgenommen (deckt Fehlende Pflicht „Prüfung Leitern/Tritte, Regale“)</t>
        </is>
      </c>
    </row>
    <row r="18" ht="53.7" customHeight="1" s="17">
      <c r="A18" s="26" t="inlineStr">
        <is>
          <t>E.53</t>
        </is>
      </c>
      <c r="B18" s="26" t="inlineStr">
        <is>
          <t>arbeitsschutz.erste_hilfe</t>
        </is>
      </c>
      <c r="C18" s="26" t="inlineStr">
        <is>
          <t>Erste Hilfe und Brandschutz organisieren</t>
        </is>
      </c>
      <c r="D18" s="26" t="inlineStr">
        <is>
          <t>Ab 2 Versicherten brauchst du Ersthelfer, Verbandmaterial und ein Verbandbuch; außerdem Brandschutzhelfer.</t>
        </is>
      </c>
      <c r="E18" s="26" t="inlineStr">
        <is>
          <t>Du hast mindestens 2 Versicherte.</t>
        </is>
      </c>
      <c r="F18" s="26" t="inlineStr">
        <is>
          <t>DGUV Vorschrift 1; ASR A2.2</t>
        </is>
      </c>
      <c r="G18" s="26" t="inlineStr">
        <is>
          <t>Die Folgen sind noch nicht fachlich erfasst.</t>
        </is>
      </c>
      <c r="H18" s="26" t="inlineStr">
        <is>
          <t>mittel</t>
        </is>
      </c>
      <c r="I18" s="26" t="inlineStr">
        <is>
          <t>ändern</t>
        </is>
      </c>
      <c r="J18" s="26" t="inlineStr">
        <is>
          <t>Teilen: (1) Erste-Hilfe-Organisation ab 1 Beschäftigtem (Verbandkasten nach ASR A4.3, Notrufaushang, Dokumentation 5 Jahre); (2) Ersthelfer ab 2 anwesenden Versicherten (§ 26 Abs. 1 DGUV V1); (3) Brandschutzhelfer nach ASR A2.2 Nr. 7.3 (i. d. R. 5 %) zur Pflicht Feuerlöscher verschieben. „Versicherte“: Inhaber zählt nur, wenn selbst versichert – konservativ alle Anwesenden zählen. Fortbildung alle 2 Jahre.</t>
        </is>
      </c>
      <c r="K18" s="26" t="inlineStr">
        <is>
          <t>K-015–K-019; Regelwert E.53</t>
        </is>
      </c>
      <c r="L18" s="26" t="inlineStr">
        <is>
          <t>plausibel</t>
        </is>
      </c>
      <c r="M18" s="27" t="inlineStr">
        <is>
          <t>abweichend umgesetzt</t>
        </is>
      </c>
      <c r="N18" s="16" t="inlineStr">
        <is>
          <t>v2: geteilt in Ersthelfer (diese Pflicht, § 26 DGUV V1, Fortbildung alle 2 Jahre, konservativ ab 1 Beschäftigtem + Inhaber), neue Pflichten arbeitsschutz.erste_hilfe_organisation und arbeitsschutz.brandschutzhelfer (eigene Pflicht statt Verschiebung zu Feuerlöscher)</t>
        </is>
      </c>
    </row>
    <row r="19" ht="64.15000000000001" customHeight="1" s="17">
      <c r="A19" s="26" t="inlineStr">
        <is>
          <t>E.53</t>
        </is>
      </c>
      <c r="B19" s="26" t="inlineStr">
        <is>
          <t>arbeitsschutz.fahrzeuge_pruefen</t>
        </is>
      </c>
      <c r="C19" s="26" t="inlineStr">
        <is>
          <t>Firmenfahrzeuge jährlich durch einen Sachkundigen prüfen lassen</t>
        </is>
      </c>
      <c r="D19" s="26" t="inlineStr">
        <is>
          <t>Fahrzeuge, die deine Beschäftigten fahren, lässt du mindestens einmal im Jahr durch einen Sachkundigen auf ihren betriebssicheren Zustand prüfen und hältst das fest.</t>
        </is>
      </c>
      <c r="E19" s="26" t="inlineStr">
        <is>
          <t>{"all":[{"feld":"abgeleitet.hat_beschaeftigte","op":"==","wert":true,"label":{"de":"Du beschäftigst mindestens eine Person."}},{"feld":"profil.fahrzeuge.anzahl","op":"&gt;=","wert":1,"label":{"de":"Du nutzt Firmenfahrzeuge."}}]}</t>
        </is>
      </c>
      <c r="F19" s="26" t="inlineStr">
        <is>
          <t>§ 57 DGUV Vorschrift 70</t>
        </is>
      </c>
      <c r="G19" s="26" t="inlineStr">
        <is>
          <t>Die Folgen sind noch nicht fachlich erfasst.</t>
        </is>
      </c>
      <c r="H19" s="26" t="inlineStr">
        <is>
          <t>mittel</t>
        </is>
      </c>
      <c r="I19" s="26" t="inlineStr">
        <is>
          <t>frei</t>
        </is>
      </c>
      <c r="J19" s="26" t="inlineStr">
        <is>
          <t>§ 57 DGUV V70 „bei Bedarf, mindestens jährlich“ korrekt; HU ersetzt die Prüfung nicht automatisch.</t>
        </is>
      </c>
      <c r="K19" s="26" t="n"/>
      <c r="L19" s="26" t="inlineStr">
        <is>
          <t>plausibel</t>
        </is>
      </c>
      <c r="M19" s="27" t="inlineStr">
        <is>
          <t>umgesetzt</t>
        </is>
      </c>
      <c r="N19" s="16" t="inlineStr">
        <is>
          <t>v2: „HU ersetzt die Prüfung nicht automatisch“.</t>
        </is>
      </c>
    </row>
    <row r="20" ht="74.59999999999999" customHeight="1" s="17">
      <c r="A20" s="26" t="inlineStr">
        <is>
          <t>E.54</t>
        </is>
      </c>
      <c r="B20" s="26" t="inlineStr">
        <is>
          <t>arbeitsschutz.dguv_v3</t>
        </is>
      </c>
      <c r="C20" s="26" t="inlineStr">
        <is>
          <t>Elektrische Geräte prüfen lassen</t>
        </is>
      </c>
      <c r="D20" s="26" t="inlineStr">
        <is>
          <t>Elektrische Geräte und Anlagen lässt du regelmäßig prüfen (DGUV Vorschrift 3).</t>
        </is>
      </c>
      <c r="E20" s="26" t="inlineStr">
        <is>
          <t>{"all":[{"feld":"abgeleitet.hat_beschaeftigte","op":"==","wert":true,"label":{"de":"Du beschäftigst mindestens eine Person."}},{"feld":"profil.arbeitsschutz.elektrische_geraete","op":"==","wert":true,"label":{"de":"Ihr nutzt elektrische Geräte im Betrieb."}}]}</t>
        </is>
      </c>
      <c r="F20" s="26" t="inlineStr">
        <is>
          <t>DGUV Vorschrift 3</t>
        </is>
      </c>
      <c r="G20" s="26" t="inlineStr">
        <is>
          <t>Die Folgen sind noch nicht fachlich erfasst.</t>
        </is>
      </c>
      <c r="H20" s="26" t="inlineStr">
        <is>
          <t>mittel</t>
        </is>
      </c>
      <c r="I20" s="26" t="inlineStr">
        <is>
          <t>frei</t>
        </is>
      </c>
      <c r="J20" s="26" t="inlineStr">
        <is>
          <t>Fristen aus GB, Richtwerte Tab. 1A/1B (bestätigt).</t>
        </is>
      </c>
      <c r="K20" s="26" t="inlineStr">
        <is>
          <t>Sanktion: § 9 DGUV V3 i. V. m. § 209 SGB VII – Nummer gegenprüfen.</t>
        </is>
      </c>
      <c r="L20" s="26" t="inlineStr">
        <is>
          <t>plausibel</t>
        </is>
      </c>
      <c r="M20" s="27" t="inlineStr">
        <is>
          <t>umgesetzt</t>
        </is>
      </c>
      <c r="N20" s="16" t="inlineStr">
        <is>
          <t>v4: Sanktion § 9 DGUV V3 i. V. m. § 209 Abs. 1 Nr. 1 (bis 10.000 €) gegengeprüft</t>
        </is>
      </c>
    </row>
    <row r="21" ht="32.8" customHeight="1" s="17">
      <c r="A21" s="26" t="inlineStr">
        <is>
          <t>E.54</t>
        </is>
      </c>
      <c r="B21" s="26" t="inlineStr">
        <is>
          <t>arbeitsschutz.feuerloescher</t>
        </is>
      </c>
      <c r="C21" s="26" t="inlineStr">
        <is>
          <t>Feuerlöscher bereitstellen und prüfen lassen</t>
        </is>
      </c>
      <c r="D21" s="26" t="inlineStr">
        <is>
          <t>In deiner Arbeitsstätte stehen ausreichend Feuerlöscher bereit, die regelmäßig von einer sachkundigen Person geprüft werden.</t>
        </is>
      </c>
      <c r="E21" s="26" t="inlineStr">
        <is>
          <t>Du beschäftigst mindestens eine Person.</t>
        </is>
      </c>
      <c r="F21" s="26" t="inlineStr">
        <is>
          <t>§ 4 Abs. 3 ArbStättV; ASR A2.2</t>
        </is>
      </c>
      <c r="G21" s="26" t="inlineStr">
        <is>
          <t>Die Folgen sind noch nicht fachlich erfasst.</t>
        </is>
      </c>
      <c r="H21" s="26" t="inlineStr">
        <is>
          <t>mittel</t>
        </is>
      </c>
      <c r="I21" s="26" t="inlineStr">
        <is>
          <t>frei</t>
        </is>
      </c>
      <c r="J21" s="26" t="inlineStr">
        <is>
          <t>Prüfung „spätestens alle 2 Jahre“ (ASR A2.2) bestätigt.</t>
        </is>
      </c>
      <c r="K21" s="26" t="inlineStr">
        <is>
          <t>Brandschutzhelfer hierher verschieben.</t>
        </is>
      </c>
      <c r="L21" s="26" t="inlineStr">
        <is>
          <t>plausibel</t>
        </is>
      </c>
      <c r="M21" s="27" t="inlineStr">
        <is>
          <t>umgesetzt</t>
        </is>
      </c>
      <c r="N21" s="16" t="inlineStr">
        <is>
          <t>v2: „spätestens alle zwei Jahre“</t>
        </is>
      </c>
    </row>
    <row r="22" ht="74.59999999999999" customHeight="1" s="17">
      <c r="A22" s="26" t="inlineStr">
        <is>
          <t>E.55</t>
        </is>
      </c>
      <c r="B22" s="26" t="inlineStr">
        <is>
          <t>arbeitsschutz.gefahrstoffe</t>
        </is>
      </c>
      <c r="C22" s="26" t="inlineStr">
        <is>
          <t>Gefahrstoffverzeichnis und Betriebsanweisungen</t>
        </is>
      </c>
      <c r="D22" s="26" t="inlineStr">
        <is>
          <t>Wenn ihr mit Gefahrstoffen arbeitet, führst du ein Verzeichnis und schreibst Betriebsanweisungen.</t>
        </is>
      </c>
      <c r="E22" s="26" t="inlineStr">
        <is>
          <t>{"all":[{"feld":"abgeleitet.hat_beschaeftigte","op":"==","wert":true,"label":{"de":"Du beschäftigst mindestens eine Person."}},{"feld":"profil.arbeitsschutz.gefahrstoffe","op":"==","wert":true,"label":{"de":"Ihr arbeitet mit Gefahrstoffen."}}]}</t>
        </is>
      </c>
      <c r="F22" s="26" t="inlineStr">
        <is>
          <t>GefStoffV</t>
        </is>
      </c>
      <c r="G22" s="26" t="inlineStr">
        <is>
          <t>Die Folgen sind noch nicht fachlich erfasst.</t>
        </is>
      </c>
      <c r="H22" s="26" t="inlineStr">
        <is>
          <t>mittel</t>
        </is>
      </c>
      <c r="I22" s="26" t="inlineStr">
        <is>
          <t>ändern</t>
        </is>
      </c>
      <c r="J22" s="26" t="inlineStr">
        <is>
          <t>Ausnahme bei ausschließlich geringer Gefährdung nennen; Unterweisung mündlich, jährlich, mit Unterschrift (§ 14 Abs. 2); Expositionsverzeichnis bei krebserzeugenden/reproduktionstoxischen Stoffen 1A/1B (§ 10a GefStoffV n. F.) als Unterpunkt bzw. eigene Pflicht.</t>
        </is>
      </c>
      <c r="K22" s="26" t="inlineStr">
        <is>
          <t>K-038–K-040</t>
        </is>
      </c>
      <c r="L22" s="26" t="inlineStr">
        <is>
          <t>plausibel</t>
        </is>
      </c>
      <c r="M22" s="27" t="inlineStr">
        <is>
          <t>umgesetzt</t>
        </is>
      </c>
      <c r="N22" s="16" t="inlineStr">
        <is>
          <t>v3: Ausnahme geringe Gefährdung (§ 6 Abs. 12 S. 3, Abs. 13), Unterweisung mündlich/jährlich/Unterschrift (§ 14 Abs. 2), Expositionsverzeichnis als eigene Pflicht</t>
        </is>
      </c>
    </row>
    <row r="23" ht="43.25" customHeight="1" s="17">
      <c r="A23" s="26" t="inlineStr">
        <is>
          <t>E.56</t>
        </is>
      </c>
      <c r="B23" s="26" t="inlineStr">
        <is>
          <t>arbeitsschutz.arbeitsmedizinische_vorsorge</t>
        </is>
      </c>
      <c r="C23" s="26" t="inlineStr">
        <is>
          <t>Arbeitsmedizinische Vorsorge anbieten</t>
        </is>
      </c>
      <c r="D23" s="26" t="inlineStr">
        <is>
          <t>Du bietest arbeitsmedizinische Vorsorge an oder veranlasst sie – je nach Tätigkeit, etwa bei Bildschirmarbeit, Lärm, Feuchtarbeit, Mehlstaub oder Schweißrauch.</t>
        </is>
      </c>
      <c r="E23" s="26" t="inlineStr">
        <is>
          <t>Du beschäftigst mindestens eine Person.</t>
        </is>
      </c>
      <c r="F23" s="26" t="inlineStr">
        <is>
          <t>ArbMedVV</t>
        </is>
      </c>
      <c r="G23" s="26" t="inlineStr">
        <is>
          <t>Die Folgen sind noch nicht fachlich erfasst.</t>
        </is>
      </c>
      <c r="H23" s="26" t="inlineStr">
        <is>
          <t>mittel</t>
        </is>
      </c>
      <c r="I23" s="26" t="inlineStr">
        <is>
          <t>ändern</t>
        </is>
      </c>
      <c r="J23" s="26" t="inlineStr">
        <is>
          <t>Anlässe mit Nummern: Feuchtarbeit &gt; 2 Std. Angebot / ≥ 4 Std. Pflicht; Mehlstaub ≤ / &gt; 4 mg/m³; Schweißrauch ≤ / &gt; 3 mg/m³; Hartholzstaub (Teil 1 Abs. 1 Nr. 1); Lärm 80/85 dB(A); Bildschirm (Teil 4); UV im Freien ≥ 1 Std.; Biostoffe Gesundheitsdienst (Teil 2 Abs. 1 Nr. 3). Vorsorgekartei § 3 Abs. 4. Fristen nach AMR 2.1 (Betriebsarzt).</t>
        </is>
      </c>
      <c r="K23" s="26" t="inlineStr">
        <is>
          <t>K-001–K-005; Frage 15</t>
        </is>
      </c>
      <c r="L23" s="26" t="inlineStr">
        <is>
          <t>bestätigt</t>
        </is>
      </c>
      <c r="M23" s="27" t="inlineStr">
        <is>
          <t>umgesetzt</t>
        </is>
      </c>
      <c r="N23" s="16" t="inlineStr">
        <is>
          <t>v4: Anlässe mit Nummern des Anhangs ArbMedVV, Vorsorgekartei § 3 Abs. 4, AMR 2.1</t>
        </is>
      </c>
    </row>
    <row r="24" ht="43.25" customHeight="1" s="17">
      <c r="A24" s="26" t="inlineStr">
        <is>
          <t>E.57</t>
        </is>
      </c>
      <c r="B24" s="26" t="inlineStr">
        <is>
          <t>arbeitsschutz.unfallanzeige</t>
        </is>
      </c>
      <c r="C24" s="26" t="inlineStr">
        <is>
          <t>Arbeitsunfall der Berufsgenossenschaft anzeigen</t>
        </is>
      </c>
      <c r="D24" s="26" t="inlineStr">
        <is>
          <t>Ist jemand nach einem Arbeitsunfall mehr als drei Tage arbeitsunfähig, zeigst du den Unfall binnen drei Tagen der BG an, nachdem du davon erfahren hast.</t>
        </is>
      </c>
      <c r="E24" s="26" t="inlineStr">
        <is>
          <t>Es gab einen Arbeitsunfall.</t>
        </is>
      </c>
      <c r="F24" s="26" t="inlineStr">
        <is>
          <t>§ 193 Abs. 4 SGB VII</t>
        </is>
      </c>
      <c r="G24" s="26" t="inlineStr">
        <is>
          <t>Bußgeld bis 2.500 € (§ 209 SGB VII).</t>
        </is>
      </c>
      <c r="H24" s="26" t="inlineStr">
        <is>
          <t>hoch</t>
        </is>
      </c>
      <c r="I24" s="26" t="inlineStr">
        <is>
          <t>ändern</t>
        </is>
      </c>
      <c r="J24" s="26" t="inlineStr">
        <is>
          <t>Auslöser: Tod oder Arbeitsunfähigkeit von mehr als 3 Tagen (Unfalltag nicht mitgezählt), auch Wegeunfälle; Frist 3 Tage ab Kenntnis (§ 193 Abs. 4); tödliche und Massenunfälle sofort. Rechtsgrundlage „§ 193 Abs. 1, 4 SGB VII; UVAV“. Sanktion bis 2.500 € (§ 209 Abs. 1 Nr. 9, Abs. 3) bestätigt. Für alle Unfälle: Eintrag Verbandbuch (eigene Pflicht).</t>
        </is>
      </c>
      <c r="K24" s="26" t="inlineStr">
        <is>
          <t>T-21; K-041–K-044</t>
        </is>
      </c>
      <c r="L24" s="26" t="inlineStr">
        <is>
          <t>bestätigt</t>
        </is>
      </c>
      <c r="M24" s="27" t="inlineStr">
        <is>
          <t>abweichend umgesetzt</t>
        </is>
      </c>
      <c r="N24" s="16" t="inlineStr">
        <is>
          <t>v3: Kurztext/Erklärung/Label Tod oder &gt; 3 Tage AU (§ 193 Abs. 1, 4 SGB VII</t>
        </is>
      </c>
    </row>
    <row r="25" ht="74.59999999999999" customHeight="1" s="17">
      <c r="A25" s="26" t="inlineStr">
        <is>
          <t>H.2</t>
        </is>
      </c>
      <c r="B25" s="26" t="inlineStr">
        <is>
          <t>branche.handwerk_gefaehrdung_gewerk</t>
        </is>
      </c>
      <c r="C25" s="26" t="inlineStr">
        <is>
          <t>Gefährdungsbeurteilung je Gewerk und Einsatzort ergänzen</t>
        </is>
      </c>
      <c r="D25" s="26" t="inlineStr">
        <is>
          <t>Im Handwerk ergänzt du die Gefährdungsbeurteilung um die Gefährdungen deines Gewerks – in der Werkstatt und bei Arbeiten beim Kunden.</t>
        </is>
      </c>
      <c r="E25" s="26" t="inlineStr">
        <is>
          <t>{"all":[{"feld":"profil.taetigkeit.branchen","op":"enthaelt","wert":"handwerk","label":{"de":"Dein Betrieb ist ein Handwerksbetrieb."}},{"feld":"abgeleitet.hat_beschaeftigte","op":"==","wert":true,"label":{"de":"Du beschäftigst mindestens eine Person."}}]}</t>
        </is>
      </c>
      <c r="F25" s="26" t="inlineStr">
        <is>
          <t>§§ 5, 6 ArbSchG</t>
        </is>
      </c>
      <c r="G25" s="26" t="inlineStr">
        <is>
          <t>Die Folgen sind noch nicht fachlich erfasst.</t>
        </is>
      </c>
      <c r="H25" s="26" t="inlineStr">
        <is>
          <t>mittel</t>
        </is>
      </c>
      <c r="I25" s="26" t="inlineStr">
        <is>
          <t>frei</t>
        </is>
      </c>
      <c r="J25" s="26" t="n"/>
      <c r="K25" s="26" t="n"/>
      <c r="L25" s="26" t="inlineStr">
        <is>
          <t>plausibel</t>
        </is>
      </c>
      <c r="M25" s="27" t="inlineStr">
        <is>
          <t>umgesetzt</t>
        </is>
      </c>
      <c r="N25" s="16" t="inlineStr">
        <is>
          <t>keine Änderung nötig.</t>
        </is>
      </c>
    </row>
    <row r="26" ht="85.05" customHeight="1" s="17">
      <c r="A26" s="26" t="inlineStr">
        <is>
          <t>H.3</t>
        </is>
      </c>
      <c r="B26" s="26" t="inlineStr">
        <is>
          <t>branche.beauty_hautschutzplan</t>
        </is>
      </c>
      <c r="C26" s="26" t="inlineStr">
        <is>
          <t>Hautschutzplan aushängen</t>
        </is>
      </c>
      <c r="D26" s="26" t="inlineStr">
        <is>
          <t>Für Tätigkeiten mit Feuchtarbeit oder hautbelastenden Stoffen legst du in einem Hautschutzplan Schutz, Reinigung und Pflege fest.</t>
        </is>
      </c>
      <c r="E26" s="26" t="inlineStr">
        <is>
          <t>{"all":[{"feld":"profil.taetigkeit.branchen","op":"enthaelt","wert":"beauty_kosmetik","label":{"de":"Dein Betrieb gehört zur Beauty- und Kosmetikbranche."}},{"feld":"abgeleitet.hat_beschaeftigte","op":"==","wert":true,"label":{"de":"Du beschäftigst mindestens eine Person."}}]}</t>
        </is>
      </c>
      <c r="F26" s="26" t="inlineStr">
        <is>
          <t>TRGS 401; GefStoffV</t>
        </is>
      </c>
      <c r="G26" s="26" t="inlineStr">
        <is>
          <t>Die Folgen sind noch nicht fachlich erfasst.</t>
        </is>
      </c>
      <c r="H26" s="26" t="inlineStr">
        <is>
          <t>mittel</t>
        </is>
      </c>
      <c r="I26" s="26" t="inlineStr">
        <is>
          <t>ändern</t>
        </is>
      </c>
      <c r="J26" s="26" t="inlineStr">
        <is>
          <t>Auslöser auf Gastronomie, Gebäudereinigung, Praxis, Kfz, Bäckerei, Bau ausweiten (Feuchtarbeit/hautbelastende Stoffe). Rechtsgrundlage: TRGS 401 i. V. m. §§ 7, 14 GefStoffV; TRGS 530.</t>
        </is>
      </c>
      <c r="K26" s="26" t="inlineStr">
        <is>
          <t>K-060–K-063</t>
        </is>
      </c>
      <c r="L26" s="26" t="inlineStr">
        <is>
          <t>plausibel</t>
        </is>
      </c>
      <c r="M26" s="27" t="inlineStr">
        <is>
          <t>umgesetzt</t>
        </is>
      </c>
      <c r="N26" s="16" t="inlineStr">
        <is>
          <t>v2: Auslöser Beauty, Gastronomie/Bäckerei, Gebäudereinigung, Praxis sowie Handwerk/Bau (Kfz) mit Gefahrstoffen</t>
        </is>
      </c>
    </row>
    <row r="27" ht="43.25" customHeight="1" s="17">
      <c r="A27" s="26" t="inlineStr">
        <is>
          <t>H.4</t>
        </is>
      </c>
      <c r="B27" s="26" t="inlineStr">
        <is>
          <t>branche.bau_baustellenverordnung</t>
        </is>
      </c>
      <c r="C27" s="26" t="inlineStr">
        <is>
          <t>Baustellenverordnung beachten</t>
        </is>
      </c>
      <c r="D27" s="26" t="inlineStr">
        <is>
          <t>Auf Baustellen gelten zusätzliche Pflichten zum Arbeitsschutz, etwa Vorankündigung, Koordination und Sicherheitsplan.</t>
        </is>
      </c>
      <c r="E27" s="26" t="inlineStr">
        <is>
          <t>Dein Betrieb gehört zur Baubranche.</t>
        </is>
      </c>
      <c r="F27" s="26" t="inlineStr">
        <is>
          <t>BaustellV</t>
        </is>
      </c>
      <c r="G27" s="26" t="inlineStr">
        <is>
          <t>Die Folgen sind noch nicht fachlich erfasst.</t>
        </is>
      </c>
      <c r="H27" s="26" t="inlineStr">
        <is>
          <t>mittel</t>
        </is>
      </c>
      <c r="I27" s="26" t="inlineStr">
        <is>
          <t>ändern</t>
        </is>
      </c>
      <c r="J27" s="26" t="inlineStr">
        <is>
          <t>Rolle klären: Vorankündigung, SiGe-Plan, Koordinator sind Bauherrenpflichten (§§ 2, 3 BaustellV; Schwellen &gt; 30 Arbeitstage und &gt; 20 Beschäftigte gleichzeitig oder &gt; 500 Personentage). Für Auftragnehmer: § 5 BaustellV (Hinweise des Koordinators und SiGe-Plan beachten).</t>
        </is>
      </c>
      <c r="K27" s="26" t="inlineStr">
        <is>
          <t>K-050–K-053</t>
        </is>
      </c>
      <c r="L27" s="26" t="inlineStr">
        <is>
          <t>plausibel</t>
        </is>
      </c>
      <c r="M27" s="27" t="inlineStr">
        <is>
          <t>umgesetzt</t>
        </is>
      </c>
      <c r="N27" s="16" t="inlineStr">
        <is>
          <t>v2: Bauherrenpflichten §§ 2, 3 (Schwellen) und Auftragnehmerpflichten § 5 BaustellV getrennt.</t>
        </is>
      </c>
    </row>
    <row r="28" ht="95.5" customHeight="1" s="17">
      <c r="A28" s="26" t="inlineStr">
        <is>
          <t>H.5</t>
        </is>
      </c>
      <c r="B28" s="26" t="inlineStr">
        <is>
          <t>branche.transport_lenkzeiten</t>
        </is>
      </c>
      <c r="C28" s="26" t="inlineStr">
        <is>
          <t>Lenk- und Ruhezeiten einhalten und mit dem Fahrtenschreiber aufzeichnen</t>
        </is>
      </c>
      <c r="D28" s="26" t="inlineStr">
        <is>
          <t>Für Fahrzeuge über 3,5 t – grenzüberschreitend schon über 2,5 t – gelten die EU-Lenk- und Ruhezeiten; aufgezeichnet wird mit dem Fahrtenschreiber.</t>
        </is>
      </c>
      <c r="E28" s="26" t="inlineStr">
        <is>
          <t>{"all":[{"feld":"profil.fahrzeuge.anzahl","op":"&gt;=","wert":1,"label":{"de":"Du nutzt Firmenfahrzeuge."}},{"any":[{"feld":"profil.fahrzeuge.gesamtmasse","op":"enthaelt","wert":"ueber_3_5t","label":{"de":"Mindestens ein Fahrzeug hat mehr als 3,5 t zulässige Gesamtmasse."}},{"all":[{"feld":"profil.fahr</t>
        </is>
      </c>
      <c r="F28" s="26" t="inlineStr">
        <is>
          <t>Verordnung (EG) Nr. 561/2006; Verordnung (EU) Nr. 165/2014; FPersG</t>
        </is>
      </c>
      <c r="G28" s="26" t="inlineStr">
        <is>
          <t>Die Folgen sind noch nicht fachlich erfasst.</t>
        </is>
      </c>
      <c r="H28" s="26" t="inlineStr">
        <is>
          <t>mittel</t>
        </is>
      </c>
      <c r="I28" s="26" t="inlineStr">
        <is>
          <t>frei</t>
        </is>
      </c>
      <c r="J28" s="26" t="inlineStr">
        <is>
          <t>Nicht Kern der sicherheitstechnischen Prüfung; Handwerkerausnahme Art. 3 Buchst. aa VO 561/2006 prüfen (RA/BG Verkehr).</t>
        </is>
      </c>
      <c r="K28" s="26" t="n"/>
      <c r="L28" s="26" t="inlineStr">
        <is>
          <t>offen</t>
        </is>
      </c>
      <c r="M28" s="27" t="inlineStr">
        <is>
          <t>offen</t>
        </is>
      </c>
      <c r="N28" s="16" t="inlineStr">
        <is>
          <t>nicht Kern der Prüfung</t>
        </is>
      </c>
    </row>
    <row r="29" ht="74.59999999999999" customHeight="1" s="17">
      <c r="A29" s="26" t="inlineStr">
        <is>
          <t>H.5</t>
        </is>
      </c>
      <c r="B29" s="26" t="inlineStr">
        <is>
          <t>branche.transport_lenkzeiten_national</t>
        </is>
      </c>
      <c r="C29" s="26" t="inlineStr">
        <is>
          <t>Lenk- und Ruhezeiten bei Transportern über 2,8 t</t>
        </is>
      </c>
      <c r="D29" s="26" t="inlineStr">
        <is>
          <t>Im Inland gelten die Lenk- und Ruhezeiten schon für Fahrzeuge über 2,8 t bis 3,5 t – ohne Fahrtenschreiber zeichnest du sie mit Tageskontrollblättern auf.</t>
        </is>
      </c>
      <c r="E29" s="26" t="inlineStr">
        <is>
          <t>{"all":[{"feld":"profil.fahrzeuge.anzahl","op":"&gt;=","wert":1,"label":{"de":"Du nutzt Firmenfahrzeuge."}},{"feld":"profil.fahrzeuge.gesamtmasse","op":"enthaelt","wert":"2_8_bis_3_5t","label":{"de":"Mindestens ein Fahrzeug hat über 2,8 bis 3,5 t zulässige Gesamtmasse."}}]}</t>
        </is>
      </c>
      <c r="F29" s="26" t="inlineStr">
        <is>
          <t>FPersV; Verordnung (EG) Nr. 561/2006</t>
        </is>
      </c>
      <c r="G29" s="26" t="inlineStr">
        <is>
          <t>Die Folgen sind noch nicht fachlich erfasst.</t>
        </is>
      </c>
      <c r="H29" s="26" t="inlineStr">
        <is>
          <t>mittel</t>
        </is>
      </c>
      <c r="I29" s="26" t="inlineStr">
        <is>
          <t>frei</t>
        </is>
      </c>
      <c r="J29" s="26" t="inlineStr">
        <is>
          <t>Fundstelle § 1 Abs. 1 Nr. 1 FPersV (2,8–3,5 t) gegenprüfen.</t>
        </is>
      </c>
      <c r="K29" s="26" t="n"/>
      <c r="L29" s="26" t="inlineStr">
        <is>
          <t>offen</t>
        </is>
      </c>
      <c r="M29" s="27" t="inlineStr">
        <is>
          <t>umgesetzt</t>
        </is>
      </c>
      <c r="N29" s="16" t="inlineStr">
        <is>
          <t>v3: Fundstelle § 1 Abs. 1 Nr. 1, Abs. 6 FPersV am Wortlaut geprüft</t>
        </is>
      </c>
    </row>
  </sheetData>
  <autoFilter ref="A1:M29"/>
  <conditionalFormatting sqref="I2:I29">
    <cfRule type="expression" rank="0" priority="2" equalAverage="0" aboveAverage="0" dxfId="5" text="" percent="0" bottom="0">
      <formula>LEFT(I2,4)="frei"</formula>
    </cfRule>
    <cfRule type="expression" rank="0" priority="3" equalAverage="0" aboveAverage="0" dxfId="6" text="" percent="0" bottom="0">
      <formula>LEFT(I2,5)="ände"</formula>
    </cfRule>
    <cfRule type="expression" rank="0" priority="4" equalAverage="0" aboveAverage="0" dxfId="7" text="" percent="0" bottom="0">
      <formula>LEFT(I2,5)="stre"</formula>
    </cfRule>
    <cfRule type="expression" rank="0" priority="5" equalAverage="0" aboveAverage="0" dxfId="8" text="" percent="0" bottom="0">
      <formula>LEFT(I2,5)="ergä"</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44" customWidth="1" style="16" min="1" max="1"/>
    <col width="40" customWidth="1" style="16" min="2" max="2"/>
    <col width="70" customWidth="1" style="16" min="3" max="3"/>
    <col width="14" customWidth="1" style="16" min="4" max="4"/>
  </cols>
  <sheetData>
    <row r="1" ht="31.5" customHeight="1" s="17">
      <c r="A1" s="25" t="inlineStr">
        <is>
          <t>Pflicht</t>
        </is>
      </c>
      <c r="B1" s="25" t="inlineStr">
        <is>
          <t>Rechtsgrundlage</t>
        </is>
      </c>
      <c r="C1" s="25" t="inlineStr">
        <is>
          <t>Bemerkung</t>
        </is>
      </c>
      <c r="D1" s="25" t="inlineStr">
        <is>
          <t>Umsetzung (Anbieter)</t>
        </is>
      </c>
      <c r="E1" s="33" t="inlineStr">
        <is>
          <t>Bemerkung Anbieter</t>
        </is>
      </c>
    </row>
    <row r="2" ht="15" customHeight="1" s="17">
      <c r="A2" s="26" t="inlineStr">
        <is>
          <t>Erste-Hilfe-Organisation ab 1 Beschäftigtem</t>
        </is>
      </c>
      <c r="B2" s="26" t="inlineStr">
        <is>
          <t>§§ 24, 25 DGUV V1; ASR A4.3</t>
        </is>
      </c>
      <c r="C2" s="26" t="inlineStr">
        <is>
          <t>Abspaltung aus E.53 (Verbandkasten, Notruf, Dokumentation).</t>
        </is>
      </c>
      <c r="D2" s="27" t="inlineStr">
        <is>
          <t>umgesetzt</t>
        </is>
      </c>
      <c r="E2" s="16" t="inlineStr">
        <is>
          <t>neu arbeitsschutz.erste_hilfe_organisation (§§ 24, 25 DGUV V1, ASR A4.3).</t>
        </is>
      </c>
    </row>
    <row r="3" ht="22.35" customHeight="1" s="17">
      <c r="A3" s="26" t="inlineStr">
        <is>
          <t>Brandschutzhelfer</t>
        </is>
      </c>
      <c r="B3" s="26" t="inlineStr">
        <is>
          <t>ASR A2.2 Nr. 7.3</t>
        </is>
      </c>
      <c r="C3" s="26" t="inlineStr">
        <is>
          <t>i. d. R. 5 % der Beschäftigten; Ausbildung, Auffrischung empfohlen alle 3–5 Jahre (DGUV I 205-023).</t>
        </is>
      </c>
      <c r="D3" s="27" t="inlineStr">
        <is>
          <t>umgesetzt</t>
        </is>
      </c>
      <c r="E3" s="16" t="inlineStr">
        <is>
          <t>neu arbeitsschutz.brandschutzhelfer (ASR A2.2 Abschn. 7.3, 5 %, § 10 Abs. 2 ArbSchG).</t>
        </is>
      </c>
    </row>
    <row r="4" ht="15" customHeight="1" s="17">
      <c r="A4" s="26" t="inlineStr">
        <is>
          <t>Flucht- und Rettungsplan, Räumungsübung</t>
        </is>
      </c>
      <c r="B4" s="26" t="inlineStr">
        <is>
          <t>ASR A2.3</t>
        </is>
      </c>
      <c r="C4" s="26" t="inlineStr">
        <is>
          <t>Nur wenn Lage, Ausdehnung oder Art der Arbeitsstätte es erfordern.</t>
        </is>
      </c>
      <c r="D4" s="27" t="inlineStr">
        <is>
          <t>umgesetzt</t>
        </is>
      </c>
      <c r="E4" s="16" t="inlineStr">
        <is>
          <t>neu arbeitsschutz.flucht_rettungsplan (§ 4 Abs. 4 ArbStättV, ASR A2.3) als Hinweis.</t>
        </is>
      </c>
    </row>
    <row r="5" ht="22.35" customHeight="1" s="17">
      <c r="A5" s="26" t="inlineStr">
        <is>
          <t>Expositionsverzeichnis krebserzeugend/reproduktionstoxisch 1A/1B</t>
        </is>
      </c>
      <c r="B5" s="26" t="inlineStr">
        <is>
          <t>§ 10a GefStoffV n. F.</t>
        </is>
      </c>
      <c r="C5" s="26" t="inlineStr">
        <is>
          <t>Tischlerei (Hartholzstaub), Kfz (Dieselmotoremissionen); lange Aufbewahrung.</t>
        </is>
      </c>
      <c r="D5" s="27" t="inlineStr">
        <is>
          <t>umgesetzt</t>
        </is>
      </c>
      <c r="E5" s="16" t="inlineStr">
        <is>
          <t>neu arbeitsschutz.expositionsverzeichnis (§ 10a GefStoffV, 40/5 Jahre, ZED) als Hinweis für Handwerk/Bau mit Gefahrstoffen</t>
        </is>
      </c>
    </row>
    <row r="6" ht="15" customHeight="1" s="17">
      <c r="A6" s="26" t="inlineStr">
        <is>
          <t>Betriebsanweisung Arbeitsmittel</t>
        </is>
      </c>
      <c r="B6" s="26" t="inlineStr">
        <is>
          <t>§ 12 Abs. 2 BetrSichV</t>
        </is>
      </c>
      <c r="C6" s="26" t="inlineStr">
        <is>
          <t>Maschinen mit Gebrauchsanleitungspflicht.</t>
        </is>
      </c>
      <c r="D6" s="27" t="inlineStr">
        <is>
          <t>umgesetzt</t>
        </is>
      </c>
      <c r="E6" s="16" t="inlineStr">
        <is>
          <t>neu arbeitsschutz.betriebsanweisung_arbeitsmittel (§ 12 BetrSichV) für Branchen mit Maschinen</t>
        </is>
      </c>
    </row>
    <row r="7" ht="15" customHeight="1" s="17">
      <c r="A7" s="26" t="inlineStr">
        <is>
          <t>Biostoffe: GB, Betriebsanweisung, Unterweisung</t>
        </is>
      </c>
      <c r="B7" s="26" t="inlineStr">
        <is>
          <t>§§ 4, 14 BioStoffV</t>
        </is>
      </c>
      <c r="C7" s="26" t="inlineStr">
        <is>
          <t>Praxis, Kosmetik, Gebäudereinigung.</t>
        </is>
      </c>
      <c r="D7" s="27" t="inlineStr">
        <is>
          <t>umgesetzt</t>
        </is>
      </c>
      <c r="E7" s="16" t="inlineStr">
        <is>
          <t>neu arbeitsschutz.biostoffe (§§ 4, 7, 14 BioStoffV) für Praxis, Kosmetik, Gebäudereinigung</t>
        </is>
      </c>
    </row>
    <row r="8" ht="15" customHeight="1" s="17">
      <c r="A8" s="26" t="inlineStr">
        <is>
          <t>Lärm: Gehörschutz, Lärmbereiche</t>
        </is>
      </c>
      <c r="B8" s="26" t="inlineStr">
        <is>
          <t>LärmVibrationsArbSchV</t>
        </is>
      </c>
      <c r="C8" s="26" t="inlineStr">
        <is>
          <t>Handwerk, Holz, Kfz.</t>
        </is>
      </c>
      <c r="D8" s="27" t="inlineStr">
        <is>
          <t>umgesetzt</t>
        </is>
      </c>
      <c r="E8" s="16" t="inlineStr">
        <is>
          <t>neu arbeitsschutz.laerm (LärmVibrationsArbSchV) als Hinweis für Handwerk/Bau.</t>
        </is>
      </c>
    </row>
    <row r="9" ht="15" customHeight="1" s="17">
      <c r="A9" s="26" t="inlineStr">
        <is>
          <t>Verbandbuch für jeden Unfall</t>
        </is>
      </c>
      <c r="B9" s="26" t="inlineStr">
        <is>
          <t>§ 24 Abs. 6 DGUV V1</t>
        </is>
      </c>
      <c r="C9" s="26" t="inlineStr">
        <is>
          <t>Heute in Unfallanzeige vermischt.</t>
        </is>
      </c>
      <c r="D9" s="27" t="inlineStr">
        <is>
          <t>umgesetzt</t>
        </is>
      </c>
      <c r="E9" s="16" t="inlineStr">
        <is>
          <t>neu arbeitsschutz.verbandbuch (§ 24 Abs. 6 DGUV V1) je gemeldetem Unfall.</t>
        </is>
      </c>
    </row>
    <row r="10" ht="15" customHeight="1" s="17">
      <c r="A10" s="26" t="inlineStr">
        <is>
          <t>Prüfung Leitern/Tritte, Regale</t>
        </is>
      </c>
      <c r="B10" s="26" t="inlineStr">
        <is>
          <t>§ 14 BetrSichV; DGUV I 208-016; DIN EN 15635</t>
        </is>
      </c>
      <c r="C10" s="26" t="inlineStr">
        <is>
          <t>Alle Branchen.</t>
        </is>
      </c>
      <c r="D10" s="27" t="inlineStr">
        <is>
          <t>abweichend umgesetzt</t>
        </is>
      </c>
      <c r="E10" s="16" t="inlineStr">
        <is>
          <t>in arbeitsschutz.arbeitsmittel_pruefen aufgenommen (Auslöser alle Betriebe mit Beschäftigten), keine eigene Pflicht.</t>
        </is>
      </c>
    </row>
    <row r="11" ht="22.35" customHeight="1" s="17">
      <c r="A11" s="26" t="inlineStr">
        <is>
          <t>Sicherheitsbeauftragte</t>
        </is>
      </c>
      <c r="B11" s="26" t="inlineStr">
        <is>
          <t>§ 22 SGB VII (Neuregelung, Bundestag 26.03.2026)</t>
        </is>
      </c>
      <c r="C11" s="26" t="inlineStr">
        <is>
          <t>Pflicht ab regelmäßig 50 Beschäftigten, 20–50 nur bei besonderer Gefährdung nach GB/UVV – Inkrafttreten prüfen. Für Zielgruppe meist nicht relevant, aber Check-Frage sinnvoll.</t>
        </is>
      </c>
      <c r="D11" s="27" t="inlineStr">
        <is>
          <t>umgesetzt</t>
        </is>
      </c>
      <c r="E11" s="16" t="inlineStr">
        <is>
          <t>neu arbeitsschutz.sicherheitsbeauftragte (§ 22 SGB VII n. F., anzuwenden ab 29.5.2026</t>
        </is>
      </c>
    </row>
    <row r="12" ht="15" customHeight="1" s="17">
      <c r="A12" s="26" t="inlineStr">
        <is>
          <t>Getränkeschankanlagen / Flüssiggas prüfen</t>
        </is>
      </c>
      <c r="B12" s="26" t="inlineStr">
        <is>
          <t>BetrSichV; DGUV Regel 110-007; DGUV V79</t>
        </is>
      </c>
      <c r="C12" s="26" t="inlineStr">
        <is>
          <t>Gastronomie.</t>
        </is>
      </c>
      <c r="D12" s="27" t="inlineStr">
        <is>
          <t>umgesetzt</t>
        </is>
      </c>
      <c r="E12" s="16" t="inlineStr">
        <is>
          <t>neu branche.gastro_schankanlage_fluessiggas (BetrSichV, DGUV R 110-007, DGUV V79) als Hinweis für Gastronomie.</t>
        </is>
      </c>
    </row>
    <row r="13" ht="22.35" customHeight="1" s="17">
      <c r="A13" s="26" t="inlineStr">
        <is>
          <t>Unterweisung/Abstimmung Fremdfirmen und Arbeit beim Kunden</t>
        </is>
      </c>
      <c r="B13" s="26" t="inlineStr">
        <is>
          <t>§ 8 ArbSchG; § 5, 6 DGUV V1</t>
        </is>
      </c>
      <c r="C13" s="26" t="inlineStr">
        <is>
          <t>Handwerk, Gebäudereinigung.</t>
        </is>
      </c>
      <c r="D13" s="27" t="inlineStr">
        <is>
          <t>umgesetzt</t>
        </is>
      </c>
      <c r="E13" s="16" t="inlineStr">
        <is>
          <t>neu arbeitsschutz.fremdfirmen_abstimmung (§ 8 ArbSchG, §§ 5, 6 DGUV V1) für Handwerk/Bau/Reinigung oder Vertrieb vor Ort.</t>
        </is>
      </c>
    </row>
  </sheetData>
  <autoFilter ref="A1:D1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6" customWidth="1" style="16" min="1" max="1"/>
    <col width="140" customWidth="1" style="16" min="2" max="2"/>
    <col width="18" customWidth="1" style="16" min="3" max="4"/>
    <col width="22" customWidth="1" style="17" min="5" max="5"/>
    <col width="48" customWidth="1" style="17" min="6" max="6"/>
  </cols>
  <sheetData>
    <row r="1" ht="31.5" customHeight="1" s="17">
      <c r="A1" s="25" t="inlineStr">
        <is>
          <t>Punkt</t>
        </is>
      </c>
      <c r="B1" s="25" t="inlineStr">
        <is>
          <t>Inhalt</t>
        </is>
      </c>
      <c r="E1" s="25" t="inlineStr">
        <is>
          <t>Umsetzung (Anbieter)</t>
        </is>
      </c>
      <c r="F1" s="25" t="inlineStr">
        <is>
          <t>Bemerkung Anbieter</t>
        </is>
      </c>
    </row>
    <row r="2" ht="15" customHeight="1" s="17">
      <c r="A2" s="26" t="inlineStr">
        <is>
          <t>Befund</t>
        </is>
      </c>
      <c r="B2" s="26" t="inlineStr">
        <is>
          <t>Drei Stufen sind für Kleinbetriebe vertretbar; BG-Handlungshilfen arbeiten ähnlich einfach. Eine Nohl-Matrix ist nicht vorgeschrieben (§ 5 ArbSchG schreibt keine Methode vor).</t>
        </is>
      </c>
      <c r="E2" s="27" t="inlineStr">
        <is>
          <t>umgesetzt</t>
        </is>
      </c>
      <c r="F2" s="27" t="inlineStr">
        <is>
          <t>Drei Stufen beibehalten.</t>
        </is>
      </c>
    </row>
    <row r="3" ht="22.35" customHeight="1" s="17">
      <c r="A3" s="26" t="inlineStr">
        <is>
          <t>Problem 1</t>
        </is>
      </c>
      <c r="B3" s="26" t="inlineStr">
        <is>
          <t>Definition „gering = Schaden unwahrscheinlich ODER nur leicht“: seltene, aber schwere Ereignisse (Stromschlag, Fettbrand, Absturz) landen bei „gering“. Schwere und Wahrscheinlichkeit müssen kombiniert werden.</t>
        </is>
      </c>
      <c r="E3" s="27" t="inlineStr">
        <is>
          <t>umgesetzt</t>
        </is>
      </c>
      <c r="F3" s="27" t="inlineStr">
        <is>
          <t>Stufe aus Schwere × Wahrscheinlichkeit; schwer &amp; unwahrscheinlich = mittel.</t>
        </is>
      </c>
    </row>
    <row r="4" ht="15" customHeight="1" s="17">
      <c r="A4" s="26" t="inlineStr">
        <is>
          <t>Problem 2</t>
        </is>
      </c>
      <c r="B4" s="26" t="inlineStr">
        <is>
          <t>Vorbelegung „mittel“ verankert das Ergebnis und dokumentiert keine echte Bewertung – Feld leer starten, Auswahl erzwingen.</t>
        </is>
      </c>
      <c r="E4" s="27" t="inlineStr">
        <is>
          <t>umgesetzt</t>
        </is>
      </c>
      <c r="F4" s="27" t="inlineStr">
        <is>
          <t>Keine Vorbelegung; Schwere und Wahrscheinlichkeit Pflicht, Stufe erst danach. Alte Unterlagen: Einzelstufe bleibt mit Vermerk „bisherige Einstufung – neu bewerten“.</t>
        </is>
      </c>
    </row>
    <row r="5" ht="15" customHeight="1" s="17">
      <c r="A5" s="26" t="inlineStr">
        <is>
          <t>Problem 3</t>
        </is>
      </c>
      <c r="B5" s="26" t="inlineStr">
        <is>
          <t>Kein Restrisiko nach Maßnahmen; Wirksamkeit nur pauschal.</t>
        </is>
      </c>
      <c r="E5" s="27" t="inlineStr">
        <is>
          <t>umgesetzt</t>
        </is>
      </c>
      <c r="F5" s="27" t="inlineStr">
        <is>
          <t>Optional „Risiko nach Maßnahme“ und Wirksamkeit je Maßnahme.</t>
        </is>
      </c>
    </row>
    <row r="6" ht="22.35" customHeight="1" s="17">
      <c r="A6" s="26" t="inlineStr">
        <is>
          <t>Vorschlag</t>
        </is>
      </c>
      <c r="B6" s="26" t="inlineStr">
        <is>
          <t>Zwei Fragen in der App: Schwere (leicht / mittel – mit Ausfallzeit / schwer – bleibend oder tödlich) × Wahrscheinlichkeit (unwahrscheinlich / möglich / wahrscheinlich). Ergebnis: hoch = schwer &amp; möglich/wahrscheinlich oder mittel &amp; wahrscheinlich; gering = leicht &amp; unwahrscheinlich/möglich oder mittel &amp; unwahrscheinlich; sonst mittel. Schwer &amp; unwahrscheinlich = mittel.</t>
        </is>
      </c>
      <c r="E6" s="27" t="inlineStr">
        <is>
          <t>umgesetzt</t>
        </is>
      </c>
      <c r="F6" s="27" t="inlineStr">
        <is>
          <t>Zwei Fragen in der App (Schwere, Wahrscheinlichkeit), Ergebnis nach der Matrix (risikoAus).</t>
        </is>
      </c>
    </row>
    <row r="7" ht="15" customHeight="1" s="17">
      <c r="A7" s="26" t="inlineStr">
        <is>
          <t>Vorschlag</t>
        </is>
      </c>
      <c r="B7" s="26" t="inlineStr">
        <is>
          <t>Handlungsbedarf beibehalten: hoch → sofort, ggf. Tätigkeit einstellen; mittel → zeitnah mit Termin; gering → bei Gelegenheit / beobachten.</t>
        </is>
      </c>
      <c r="E7" s="27" t="inlineStr">
        <is>
          <t>umgesetzt</t>
        </is>
      </c>
      <c r="F7" s="27" t="inlineStr">
        <is>
          <t>Handlungsbedarf unverändert, in der Legende des PDF.</t>
        </is>
      </c>
    </row>
    <row r="8" ht="15" customHeight="1" s="17">
      <c r="A8" s="26" t="inlineStr">
        <is>
          <t>Vorschlag</t>
        </is>
      </c>
      <c r="B8" s="26" t="inlineStr">
        <is>
          <t>Spalte „Risiko nach Maßnahme“ optional; Bausteine mit „hoch“ (B-036, B-072, B-084, B-086, B-105 …) beibehalten, aber als Vorschlag kennzeichnen.</t>
        </is>
      </c>
      <c r="E8" s="27" t="inlineStr">
        <is>
          <t>umgesetzt</t>
        </is>
      </c>
      <c r="F8" s="27" t="inlineStr">
        <is>
          <t>„Risiko nach Maßnahme“ optional; Bausteine mit „hoch“ schlagen nur die Schwere „schwer“ vor (Vorschlag, änderbar).</t>
        </is>
      </c>
    </row>
    <row r="9">
      <c r="E9" s="27" t="n"/>
      <c r="F9" s="27" t="n"/>
    </row>
    <row r="10" ht="15" customHeight="1" s="17">
      <c r="A10" s="24" t="inlineStr">
        <is>
          <t>Matrix (Vorschlag)</t>
        </is>
      </c>
      <c r="E10" s="27" t="inlineStr">
        <is>
          <t>umgesetzt</t>
        </is>
      </c>
      <c r="F10" s="27" t="inlineStr">
        <is>
          <t>Matrix 1:1 übernommen (RISIKO_MATRIX) und als Legende im PDF.</t>
        </is>
      </c>
    </row>
    <row r="11" ht="15" customHeight="1" s="17">
      <c r="A11" s="24" t="n"/>
      <c r="B11" s="24" t="inlineStr">
        <is>
          <t>unwahrscheinlich</t>
        </is>
      </c>
      <c r="C11" s="24" t="inlineStr">
        <is>
          <t>möglich</t>
        </is>
      </c>
      <c r="D11" s="24" t="inlineStr">
        <is>
          <t>wahrscheinlich</t>
        </is>
      </c>
      <c r="E11" s="27" t="inlineStr">
        <is>
          <t>umgesetzt</t>
        </is>
      </c>
      <c r="F11" s="27" t="inlineStr">
        <is>
          <t>wie Vorschlag</t>
        </is>
      </c>
    </row>
    <row r="12" ht="15" customHeight="1" s="17">
      <c r="A12" s="28" t="inlineStr">
        <is>
          <t>leicht</t>
        </is>
      </c>
      <c r="B12" s="29" t="inlineStr">
        <is>
          <t>gering</t>
        </is>
      </c>
      <c r="C12" s="29" t="inlineStr">
        <is>
          <t>gering</t>
        </is>
      </c>
      <c r="D12" s="30" t="inlineStr">
        <is>
          <t>mittel</t>
        </is>
      </c>
      <c r="E12" s="27" t="inlineStr">
        <is>
          <t>umgesetzt</t>
        </is>
      </c>
      <c r="F12" s="27" t="inlineStr">
        <is>
          <t>wie Vorschlag</t>
        </is>
      </c>
    </row>
    <row r="13" ht="15" customHeight="1" s="17">
      <c r="A13" s="28" t="inlineStr">
        <is>
          <t>mittel (Ausfallzeit)</t>
        </is>
      </c>
      <c r="B13" s="29" t="inlineStr">
        <is>
          <t>gering</t>
        </is>
      </c>
      <c r="C13" s="30" t="inlineStr">
        <is>
          <t>mittel</t>
        </is>
      </c>
      <c r="D13" s="31" t="inlineStr">
        <is>
          <t>hoch</t>
        </is>
      </c>
      <c r="E13" s="27" t="inlineStr">
        <is>
          <t>umgesetzt</t>
        </is>
      </c>
      <c r="F13" s="27" t="inlineStr">
        <is>
          <t>wie Vorschlag</t>
        </is>
      </c>
    </row>
    <row r="14" ht="15" customHeight="1" s="17">
      <c r="A14" s="28" t="inlineStr">
        <is>
          <t>schwer (bleibend/tödlich)</t>
        </is>
      </c>
      <c r="B14" s="30" t="inlineStr">
        <is>
          <t>mittel</t>
        </is>
      </c>
      <c r="C14" s="31" t="inlineStr">
        <is>
          <t>hoch</t>
        </is>
      </c>
      <c r="D14" s="31" t="inlineStr">
        <is>
          <t>hoch</t>
        </is>
      </c>
      <c r="E14" s="27" t="inlineStr">
        <is>
          <t>umgesetzt</t>
        </is>
      </c>
      <c r="F14" s="27" t="inlineStr">
        <is>
          <t>wie Vorschlag</t>
        </is>
      </c>
    </row>
  </sheetData>
  <autoFilter ref="A1:B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16"/>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5" customWidth="1" style="16" min="1" max="1"/>
    <col width="34" customWidth="1" style="16" min="2" max="2"/>
    <col width="110" customWidth="1" style="16" min="3" max="3"/>
    <col width="26" customWidth="1" style="16" min="4" max="4"/>
    <col width="30" customWidth="1" style="16" min="5" max="5"/>
  </cols>
  <sheetData>
    <row r="1" ht="31.5" customHeight="1" s="17">
      <c r="A1" s="25" t="inlineStr">
        <is>
          <t>Nr</t>
        </is>
      </c>
      <c r="B1" s="25" t="inlineStr">
        <is>
          <t>Frage (Kurzform)</t>
        </is>
      </c>
      <c r="C1" s="25" t="inlineStr">
        <is>
          <t>Antwort</t>
        </is>
      </c>
      <c r="D1" s="25" t="inlineStr">
        <is>
          <t>Details in Blatt</t>
        </is>
      </c>
      <c r="E1" s="25" t="inlineStr">
        <is>
          <t>Rückfrage Anbieter</t>
        </is>
      </c>
    </row>
    <row r="2" ht="32.8" customHeight="1" s="17">
      <c r="A2" s="26" t="n">
        <v>1</v>
      </c>
      <c r="B2" s="26" t="inlineStr">
        <is>
          <t>Vollständigkeit der Gefährdungen je Branche</t>
        </is>
      </c>
      <c r="C2" s="26" t="inlineStr">
        <is>
          <t>Friseur, Kosmetik, Handwerk und Büro/Laden weitgehend vollständig. Größte Lücken: Gebäudereinigung (nur 5, Feuchtarbeit/Rutschen/Absturz/ätzende Reiniger fehlen), Gastronomie (CO2-Schankanlagen, Gas, allgemeiner Brandschutz), Kfz (Schweißen, Altöl/Kraftstoff, Airbags, Brand/Ex), Bäckerei (Haut, Rutschen, Lasten), Praxis (Gewalt, Laser, Narkosegase, Mutterschutz/Biostoffe).</t>
        </is>
      </c>
      <c r="D2" s="26" t="inlineStr">
        <is>
          <t>A Fehlende Bausteine</t>
        </is>
      </c>
      <c r="E2" s="27" t="n"/>
    </row>
    <row r="3" ht="22.35" customHeight="1" s="17">
      <c r="A3" s="26" t="n">
        <v>2</v>
      </c>
      <c r="B3" s="26" t="inlineStr">
        <is>
          <t>STOP-Prinzip</t>
        </is>
      </c>
      <c r="C3" s="26" t="inlineStr">
        <is>
          <t>Reihenfolge in den Bausteinen überwiegend richtig. Hilfetext soll Substitution ausdrücklich zuerst nennen (§ 4 ArbSchG, § 7 GefStoffV). Einige Faktorzuordnungen korrigieren (B-080, B-099).</t>
        </is>
      </c>
      <c r="D3" s="26" t="inlineStr">
        <is>
          <t>A Bausteine; B Vorlagen</t>
        </is>
      </c>
      <c r="E3" s="27" t="n"/>
    </row>
    <row r="4" ht="22.35" customHeight="1" s="17">
      <c r="A4" s="26" t="n">
        <v>3</v>
      </c>
      <c r="B4" s="26" t="inlineStr">
        <is>
          <t>Kennzahlen und Grenzwerte</t>
        </is>
      </c>
      <c r="C4" s="26" t="inlineStr">
        <is>
          <t>Großteil bestätigt (100 m³/h, Feuchtarbeit, Mehlstaub, Lärm, Lux, LE, DGUV-V3-Fristen, 160×80 cm). Korrigieren: Fettbrandlöscher (B-036), 750 lx ist BGW-Wert, nicht ASR (B-018), Raumtemperatur-Stufen (B-058). Offen: 14-Tage-Abscheider (B-031), R 9 Friseur (Fundstelle).</t>
        </is>
      </c>
      <c r="D4" s="26" t="inlineStr">
        <is>
          <t>A Kennzahlen</t>
        </is>
      </c>
      <c r="E4" s="27" t="n"/>
    </row>
    <row r="5" ht="32.8" customHeight="1" s="17">
      <c r="A5" s="26" t="n">
        <v>4</v>
      </c>
      <c r="B5" s="26" t="inlineStr">
        <is>
          <t>Fachquellen für „Nutzertest“/„fachlich zu prüfen“</t>
        </is>
      </c>
      <c r="C5" s="26" t="inlineStr">
        <is>
          <t>Kfz: DGUV Regel 109-009 (Fahrzeug-Instandhaltung), TRGS 554, DGUV I 209-093. Holz: DGUV Regel 109-606, TRGS 553. Bäckerei: BGN-Branchenwissen Backbetriebe, ArbMedVV Anh. Teil 1 Nr. 2j. Transport: DGUV V70 §§ 35, 57, VDI 2700, BG Verkehr. Reinigung: BG BAU, DGUV Regel 101-019, DGUV Regel 112-139.</t>
        </is>
      </c>
      <c r="D5" s="26" t="inlineStr">
        <is>
          <t>A Bausteine (Spalte Fundstelle)</t>
        </is>
      </c>
      <c r="E5" s="27" t="n"/>
    </row>
    <row r="6" ht="32.8" customHeight="1" s="17">
      <c r="A6" s="26" t="n">
        <v>5</v>
      </c>
      <c r="B6" s="26" t="inlineStr">
        <is>
          <t>Praxis, Einzelhandel, Elektrohandwerk</t>
        </is>
      </c>
      <c r="C6" s="26" t="inlineStr">
        <is>
          <t>Praxis-Bausteine fachlich richtig; Nadelstich-Erstmaßnahmen vom Betriebsarzt an aktueller PEP-Leitlinie prüfen lassen; BGW-Quelle 2004 ersetzen; Gewalt, Laser, Narkosegase ergänzen. Einzelhandel: BGHW-Branchenhilfen Handel (Kompendium/Handlungshilfen der BGHW). Elektrohandwerk: ein Baustein reicht nicht – Leitern, Baustelle, Absturz, Fahrzeuge aus Handwerk/Bau zuordnen, BG ETEM-Handlungshilfe nutzen.</t>
        </is>
      </c>
      <c r="D6" s="26" t="inlineStr">
        <is>
          <t>A Bausteine; A Fehlende Bausteine</t>
        </is>
      </c>
      <c r="E6" s="27" t="n"/>
    </row>
    <row r="7" ht="22.35" customHeight="1" s="17">
      <c r="A7" s="26" t="n">
        <v>6</v>
      </c>
      <c r="B7" s="26" t="inlineStr">
        <is>
          <t>Hautschutz anderer Branchen; ISO 374-6; „Sticharbeiten“</t>
        </is>
      </c>
      <c r="C7" s="26" t="inlineStr">
        <is>
          <t>Ja, eigene Zeilen für Kosmetik/Nagel, Gastronomie, Gebäudereinigung, Praxis (Händedesinfektion), Kfz, Bäckerei. DIN EN ISO 374-6:2025-11 „Schutzhandschuhe für Friseure“ existiert – belegt. „Sticharbeiten“ durch „Präzisionsarbeiten (z. B. Permanent-Make-up)“ ersetzen.</t>
        </is>
      </c>
      <c r="D7" s="26" t="inlineStr">
        <is>
          <t>B Vorlagen; B-018</t>
        </is>
      </c>
      <c r="E7" s="27" t="n"/>
    </row>
    <row r="8" ht="22.35" customHeight="1" s="17">
      <c r="A8" s="26" t="n">
        <v>7</v>
      </c>
      <c r="B8" s="26" t="inlineStr">
        <is>
          <t>Gliederung GB; Brand/Explosion</t>
        </is>
      </c>
      <c r="C8" s="26" t="inlineStr">
        <is>
          <t>Gliederung zulässig; Brand/Explosion und Elektrik als feste Unterpunkte; Abschnitt Prüffristen Arbeitsmittel ergänzen (§ 3 Abs. 6 BetrSichV); Wirksamkeit je Maßnahme.</t>
        </is>
      </c>
      <c r="D8" s="26" t="inlineStr">
        <is>
          <t>B Vorlagen</t>
        </is>
      </c>
      <c r="E8" s="27" t="n"/>
    </row>
    <row r="9" ht="22.35" customHeight="1" s="17">
      <c r="A9" s="26" t="n">
        <v>8</v>
      </c>
      <c r="B9" s="26" t="inlineStr">
        <is>
          <t>Mutterschutz und Jugendliche</t>
        </is>
      </c>
      <c r="C9" s="26" t="inlineStr">
        <is>
          <t>Drei Ergebnisse nach § 10 MuSchG korrekt; Warnhinweis bei Gefahr-/Biostoffen, Lärm richtig. JArbSchG-Bausteine konkretisieren (Pausen, § 22 Abs. 3 Betreuung).</t>
        </is>
      </c>
      <c r="D9" s="26" t="inlineStr">
        <is>
          <t>A Bausteine B-109–B-115</t>
        </is>
      </c>
      <c r="E9" s="27" t="n"/>
    </row>
    <row r="10" ht="22.35" customHeight="1" s="17">
      <c r="A10" s="26" t="n">
        <v>9</v>
      </c>
      <c r="B10" s="26" t="inlineStr">
        <is>
          <t>Unterweisung: Verständnis, Signatur</t>
        </is>
      </c>
      <c r="C10" s="26" t="inlineStr">
        <is>
          <t>Feld für Verständniskontrolle ergänzen. Für Gefahr- und Biostoffe ist Unterschrift vorgeschrieben – eingetippter Name genügt dort nicht; sonst formfrei, aber schwacher Nachweis. Elektronische Signaturformen rechtlich beim Anwalt klären.</t>
        </is>
      </c>
      <c r="D10" s="26" t="inlineStr">
        <is>
          <t>B Vorlagen</t>
        </is>
      </c>
      <c r="E10" s="27" t="n"/>
    </row>
    <row r="11" ht="22.35" customHeight="1" s="17">
      <c r="A11" s="26" t="n">
        <v>10</v>
      </c>
      <c r="B11" s="26" t="inlineStr">
        <is>
          <t>Betriebsanweisung, Gefahrstoffverzeichnis, Maschinen</t>
        </is>
      </c>
      <c r="C11" s="26" t="inlineStr">
        <is>
          <t>Gliederung passt zu TRGS 555; ohne Piktogramme zulässig, Felder für Signalwort/Piktogramme aber empfohlen. Verzeichnis-Spalten reichen; Mengenbereiche brauchbar mit klarem Bezug. Maschinen-BA (§ 12 BetrSichV): ja, Vorlage nötig.</t>
        </is>
      </c>
      <c r="D11" s="26" t="inlineStr">
        <is>
          <t>B Vorlagen</t>
        </is>
      </c>
      <c r="E11" s="27" t="n"/>
    </row>
    <row r="12" ht="22.35" customHeight="1" s="17">
      <c r="A12" s="26" t="n">
        <v>11</v>
      </c>
      <c r="B12" s="26" t="inlineStr">
        <is>
          <t>Prüfprotokoll DGUV V3</t>
        </is>
      </c>
      <c r="C12" s="26" t="inlineStr">
        <is>
          <t>Richtwerte Tab. 1A/1B bestätigt, auch RCD-Wert („unsicher“ kann entfallen). Grenzwerte, Messverfahren, Kalibrierung, Qualifikation ergänzen. Termin aus Richtwert nur als editierbarer Vorschlag; keine automatische Verlängerung.</t>
        </is>
      </c>
      <c r="D12" s="26" t="inlineStr">
        <is>
          <t>A Kennzahlen; B Vorlagen</t>
        </is>
      </c>
      <c r="E12" s="27" t="n"/>
    </row>
    <row r="13" ht="32.8" customHeight="1" s="17">
      <c r="A13" s="26" t="n">
        <v>12</v>
      </c>
      <c r="B13" s="26" t="inlineStr">
        <is>
          <t>Auslöser und Fristen im Katalog</t>
        </is>
      </c>
      <c r="C13" s="26" t="inlineStr">
        <is>
          <t>Unfallanzeige erst ab Tod / &gt; 3 Tage AU, Sanktion bestätigt. Ersthelfer: „anwesende Versicherte“, Inhaber nur wenn versichert – Erste-Hilfe-Grundorganisation ab 1 Beschäftigtem. „Vor Arbeitsbeginn“: rechtlich genügt der erste Arbeitstag vor Aufnahme der Tätigkeit; Vortag nur als Erinnerung.</t>
        </is>
      </c>
      <c r="D13" s="26" t="inlineStr">
        <is>
          <t>C Katalog</t>
        </is>
      </c>
      <c r="E13" s="27" t="n"/>
    </row>
    <row r="14" ht="32.8" customHeight="1" s="17">
      <c r="A14" s="26" t="n">
        <v>13</v>
      </c>
      <c r="B14" s="26" t="inlineStr">
        <is>
          <t>Betreuung ASiG/DGUV V2</t>
        </is>
      </c>
      <c r="C14" s="26" t="inlineStr">
        <is>
          <t>Text ergänzen (siehe C Katalog). Betrieben ohne Betreuung sagen: „Du musst betreut sein – wähle Regelbetreuung (Vertrag mit Sifa und Betriebsarzt bzw. überbetrieblichem Dienst) oder melde dich bei deiner BG zum Unternehmermodell an. Bis dahin fehlt dir die fachliche Beratung zur Gefährdungsbeurteilung.“ Hinweis: NRW-Initiative (BR-Drs. 735/25) zur Schwelle 50 ist nicht Gesetz.</t>
        </is>
      </c>
      <c r="D14" s="26" t="inlineStr">
        <is>
          <t>C Katalog</t>
        </is>
      </c>
      <c r="E14" s="27" t="n"/>
    </row>
    <row r="15" ht="15" customHeight="1" s="17">
      <c r="A15" s="26" t="n">
        <v>14</v>
      </c>
      <c r="B15" s="26" t="inlineStr">
        <is>
          <t>Risikoskala</t>
        </is>
      </c>
      <c r="C15" s="26" t="inlineStr">
        <is>
          <t>Drei Stufen ausreichend, aber als Kombination aus Schwere × Wahrscheinlichkeit definieren; Vorbelegung „mittel“ streichen.</t>
        </is>
      </c>
      <c r="D15" s="26" t="inlineStr">
        <is>
          <t>D Risikoskala</t>
        </is>
      </c>
      <c r="E15" s="27" t="n"/>
    </row>
    <row r="16" ht="43.25" customHeight="1" s="17">
      <c r="A16" s="26" t="n">
        <v>15</v>
      </c>
      <c r="B16" s="26" t="inlineStr">
        <is>
          <t>Arbeitsmedizinische Vorsorge (für Betriebsarzt)</t>
        </is>
      </c>
      <c r="C16" s="26" t="inlineStr">
        <is>
          <t>Zuordnung im Grundsatz richtig; mit Nummern der ArbMedVV versehen (Feuchtarbeit, Mehlstaub, Schweißrauch, Hartholzstaub, Lärm, Bildschirm, UV, Biostoffe Gesundheitsdienst: HBV/HCV u. a.). Kosmetik/Tattoo-nahe Tätigkeiten mit Blutkontakt: Angebot/Impfung durch Betriebsarzt bewerten. Nachtarbeit ist § 6 Abs. 3 ArbZG, § 33 JArbSchG eigene Untersuchung – nicht ArbMedVV. Friseurchemikalien: kein eigener ArbMedVV-Anlass außer Feuchtarbeit – Betriebsarzt bestätigen.</t>
        </is>
      </c>
      <c r="D16" s="26" t="inlineStr">
        <is>
          <t>C Katalog (arbeitsmedizinische_vorsorge)</t>
        </is>
      </c>
      <c r="E16" s="27" t="n"/>
    </row>
  </sheetData>
  <autoFilter ref="A1:E1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B1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0" customWidth="1" style="16" min="1" max="1"/>
    <col width="110" customWidth="1" style="16" min="2" max="2"/>
  </cols>
  <sheetData>
    <row r="1" ht="31.5" customHeight="1" s="17">
      <c r="A1" s="25" t="inlineStr">
        <is>
          <t>Quelle</t>
        </is>
      </c>
      <c r="B1" s="25" t="inlineStr">
        <is>
          <t>Link</t>
        </is>
      </c>
    </row>
    <row r="2" ht="15" customHeight="1" s="17">
      <c r="A2" s="26" t="inlineStr">
        <is>
          <t>TRGS 530 Nr. 5 (BGN-Vorschriftenportal)</t>
        </is>
      </c>
      <c r="B2" s="32" t="inlineStr">
        <is>
          <t>https://vorschriften.bgn-branchenwissen.de/daten/tr/trgs530/5.htm</t>
        </is>
      </c>
    </row>
    <row r="3" ht="15" customHeight="1" s="17">
      <c r="A3" s="26" t="inlineStr">
        <is>
          <t>DIN EN ISO 374-6:2025-11 (DIN Media)</t>
        </is>
      </c>
      <c r="B3" s="32" t="inlineStr">
        <is>
          <t>https://www.dinmedia.de/en/standard/din-en-iso-374-6/395160443</t>
        </is>
      </c>
    </row>
    <row r="4" ht="15" customHeight="1" s="17">
      <c r="A4" s="26" t="inlineStr">
        <is>
          <t>ASR A3.4 Anhang 3 (BGN)</t>
        </is>
      </c>
      <c r="B4" s="32" t="inlineStr">
        <is>
          <t>https://vorschriften.bgn-branchenwissen.de/daten/tr/asr_a3_4/anh3.htm</t>
        </is>
      </c>
    </row>
    <row r="5" ht="15" customHeight="1" s="17">
      <c r="A5" s="26" t="inlineStr">
        <is>
          <t>ArbMedVV Anhang (lxgesetze)</t>
        </is>
      </c>
      <c r="B5" s="32" t="inlineStr">
        <is>
          <t>https://lxgesetze.de/arbmedvv/AN</t>
        </is>
      </c>
    </row>
    <row r="6" ht="15" customHeight="1" s="17">
      <c r="A6" s="26" t="inlineStr">
        <is>
          <t>§ 209 SGB VII (BGN)</t>
        </is>
      </c>
      <c r="B6" s="32" t="inlineStr">
        <is>
          <t>https://vorschriften.bgn-branchenwissen.de/daten/gv/sgb7/209.htm</t>
        </is>
      </c>
    </row>
    <row r="7" ht="15" customHeight="1" s="17">
      <c r="A7" s="26" t="inlineStr">
        <is>
          <t>BGN ASI 2.15 Brandbekämpfung (Fettbrand)</t>
        </is>
      </c>
      <c r="B7" s="32" t="inlineStr">
        <is>
          <t>https://vorschriften.bgn-branchenwissen.de/daten/asi/a2_15/4.htm</t>
        </is>
      </c>
    </row>
    <row r="8" ht="15" customHeight="1" s="17">
      <c r="A8" s="26" t="inlineStr">
        <is>
          <t>BGN ASI 4.40 Rutschgefahr</t>
        </is>
      </c>
      <c r="B8" s="32" t="inlineStr">
        <is>
          <t>https://vorschriften.bgn-branchenwissen.de/daten/asi/a4_40/3.htm</t>
        </is>
      </c>
    </row>
    <row r="9" ht="15" customHeight="1" s="17">
      <c r="A9" s="26" t="inlineStr">
        <is>
          <t>TRGS 555 Nr. 3 (BGN)</t>
        </is>
      </c>
      <c r="B9" s="32" t="inlineStr">
        <is>
          <t>https://vorschriften.bgn-branchenwissen.de/daten/tr/trgs555/3.htm</t>
        </is>
      </c>
    </row>
    <row r="10" ht="15" customHeight="1" s="17">
      <c r="A10" s="26" t="inlineStr">
        <is>
          <t>§ 14 GefStoffV (lxgesetze, Stand 17.12.2025)</t>
        </is>
      </c>
      <c r="B10" s="32" t="inlineStr">
        <is>
          <t>https://lxgesetze.de/gefstoffv/14</t>
        </is>
      </c>
    </row>
    <row r="11" ht="15" customHeight="1" s="17">
      <c r="A11" s="26" t="inlineStr">
        <is>
          <t>BGN Unternehmermodell DGUV V2</t>
        </is>
      </c>
      <c r="B11" s="32" t="inlineStr">
        <is>
          <t>https://www.bgn.de/praevention-arbeitshilfen/unsere-leistungen/arbeitsmedizinische-und-sicherheitstechnische-betreuung/unternehmermodell/Update_DGUV_Vorschrift2_Unternehmermodell.pdf</t>
        </is>
      </c>
    </row>
    <row r="12" ht="15" customHeight="1" s="17">
      <c r="A12" s="26" t="inlineStr">
        <is>
          <t>DGUV FB ETEM: RCD-Prüffristen</t>
        </is>
      </c>
      <c r="B12" s="32" t="inlineStr">
        <is>
          <t>https://presse.dguv.de/medien/fb-etem/documents/rcd_1.pdf</t>
        </is>
      </c>
    </row>
    <row r="13" ht="15" customHeight="1" s="17">
      <c r="A13" s="26" t="inlineStr">
        <is>
          <t>KomNet 24456: ASR A6 Arbeitsfläche</t>
        </is>
      </c>
      <c r="B13" s="32" t="inlineStr">
        <is>
          <t>https://www.komnet.nrw.de/_sitetools/dialog/24456</t>
        </is>
      </c>
    </row>
    <row r="14" ht="15" customHeight="1" s="17">
      <c r="A14" s="26" t="inlineStr">
        <is>
          <t>KomNet 43317: ASR A1.5 Anhang 2</t>
        </is>
      </c>
      <c r="B14" s="32" t="inlineStr">
        <is>
          <t>https://www.komnet.nrw.de/_sitetools/dialog/43317</t>
        </is>
      </c>
    </row>
    <row r="15" ht="15" customHeight="1" s="17">
      <c r="A15" s="26" t="inlineStr">
        <is>
          <t>BR-Drs. 735/25 (NRW, Bürokratieabbau Arbeitsschutz – Entwurf)</t>
        </is>
      </c>
      <c r="B15" s="32" t="inlineStr">
        <is>
          <t>https://dserver.bundestag.de/brd/2025/0735-25.pdf</t>
        </is>
      </c>
    </row>
    <row r="16" ht="15" customHeight="1" s="17">
      <c r="A16" s="26" t="inlineStr">
        <is>
          <t>HWK Cottbus: Neuregelung Sicherheitsbeauftragte (26.03.2026)</t>
        </is>
      </c>
      <c r="B16" s="32" t="inlineStr">
        <is>
          <t>https://www.hwk-cottbus.de/artikel/bundestag-erhoeht-schwellenwert-fuer-sicherheitsbeauftragte-7,0,10305.html</t>
        </is>
      </c>
    </row>
    <row r="17" ht="15" customHeight="1" s="17">
      <c r="A17" s="26" t="inlineStr">
        <is>
          <t>Haufe: § 10a GefStoffV Expositionsverzeichnis</t>
        </is>
      </c>
      <c r="B17" s="32" t="inlineStr">
        <is>
          <t>https://www.haufe.de/id/beitrag/novellierung-der-gefahrstoffverordnung-fokus-krebserz-11-10a-expositionsverzeichnis-auch-fuer-reproduktionstoxische-stoffe-kat-1a-oder-1b-HI16494225.html</t>
        </is>
      </c>
    </row>
  </sheetData>
  <autoFilter ref="A1:B17"/>
  <hyperlinks>
    <hyperlink xmlns:r="http://schemas.openxmlformats.org/officeDocument/2006/relationships" ref="B2" display="https://vorschriften.bgn-branchenwissen.de/daten/tr/trgs530/5.htm" r:id="rId1"/>
    <hyperlink xmlns:r="http://schemas.openxmlformats.org/officeDocument/2006/relationships" ref="B3" display="https://www.dinmedia.de/en/standard/din-en-iso-374-6/395160443" r:id="rId2"/>
    <hyperlink xmlns:r="http://schemas.openxmlformats.org/officeDocument/2006/relationships" ref="B4" display="https://vorschriften.bgn-branchenwissen.de/daten/tr/asr_a3_4/anh3.htm" r:id="rId3"/>
    <hyperlink xmlns:r="http://schemas.openxmlformats.org/officeDocument/2006/relationships" ref="B5" display="https://lxgesetze.de/arbmedvv/AN" r:id="rId4"/>
    <hyperlink xmlns:r="http://schemas.openxmlformats.org/officeDocument/2006/relationships" ref="B6" display="https://vorschriften.bgn-branchenwissen.de/daten/gv/sgb7/209.htm" r:id="rId5"/>
    <hyperlink xmlns:r="http://schemas.openxmlformats.org/officeDocument/2006/relationships" ref="B7" display="https://vorschriften.bgn-branchenwissen.de/daten/asi/a2_15/4.htm" r:id="rId6"/>
    <hyperlink xmlns:r="http://schemas.openxmlformats.org/officeDocument/2006/relationships" ref="B8" display="https://vorschriften.bgn-branchenwissen.de/daten/asi/a4_40/3.htm" r:id="rId7"/>
    <hyperlink xmlns:r="http://schemas.openxmlformats.org/officeDocument/2006/relationships" ref="B9" display="https://vorschriften.bgn-branchenwissen.de/daten/tr/trgs555/3.htm" r:id="rId8"/>
    <hyperlink xmlns:r="http://schemas.openxmlformats.org/officeDocument/2006/relationships" ref="B10" display="https://lxgesetze.de/gefstoffv/14" r:id="rId9"/>
    <hyperlink xmlns:r="http://schemas.openxmlformats.org/officeDocument/2006/relationships" ref="B11" display="https://www.bgn.de/praevention-arbeitshilfen/unsere-leistungen/arbeitsmedizinische-und-sicherheitstechnische-betreuung/unternehmermodell/Update_DGUV_Vorschrift2_Unternehmermodell.pdf" r:id="rId10"/>
    <hyperlink xmlns:r="http://schemas.openxmlformats.org/officeDocument/2006/relationships" ref="B12" display="https://presse.dguv.de/medien/fb-etem/documents/rcd_1.pdf" r:id="rId11"/>
    <hyperlink xmlns:r="http://schemas.openxmlformats.org/officeDocument/2006/relationships" ref="B13" display="https://www.komnet.nrw.de/_sitetools/dialog/24456" r:id="rId12"/>
    <hyperlink xmlns:r="http://schemas.openxmlformats.org/officeDocument/2006/relationships" ref="B14" display="https://www.komnet.nrw.de/_sitetools/dialog/43317" r:id="rId13"/>
    <hyperlink xmlns:r="http://schemas.openxmlformats.org/officeDocument/2006/relationships" ref="B15" display="https://dserver.bundestag.de/brd/2025/0735-25.pdf" r:id="rId14"/>
    <hyperlink xmlns:r="http://schemas.openxmlformats.org/officeDocument/2006/relationships" ref="B16" display="https://www.hwk-cottbus.de/artikel/bundestag-erhoeht-schwellenwert-fuer-sicherheitsbeauftragte-7,0,10305.html" r:id="rId15"/>
    <hyperlink xmlns:r="http://schemas.openxmlformats.org/officeDocument/2006/relationships" ref="B17" display="https://www.haufe.de/id/beitrag/novellierung-der-gefahrstoffverordnung-fokus-krebserz-11-10a-expositionsverzeichnis-auch-fuer-reproduktionstoxische-stoffe-kat-1a-oder-1b-HI16494225.html" r:id="rId16"/>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2026-10-22T10:56:13Z</dcterms:created>
  <dcterms:modified xmlns:dcterms="http://purl.org/dc/terms/" xmlns:xsi="http://www.w3.org/2001/XMLSchema-instance" xsi:type="dcterms:W3CDTF">2026-10-22T15:55:52Z</dcterms:modified>
  <cp:revision>0</cp:revision>
</cp:coreProperties>
</file>