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nweise" sheetId="1" state="visible" r:id="rId3"/>
    <sheet name="Übersicht" sheetId="2" state="visible" r:id="rId4"/>
    <sheet name="A Bausteine" sheetId="3" state="visible" r:id="rId5"/>
    <sheet name="A Fehlende Bausteine" sheetId="4" state="visible" r:id="rId6"/>
    <sheet name="A Kennzahlen" sheetId="5" state="visible" r:id="rId7"/>
    <sheet name="B Vorlagen" sheetId="6" state="visible" r:id="rId8"/>
    <sheet name="C Katalog" sheetId="7" state="visible" r:id="rId9"/>
    <sheet name="C Fehlende Pflichten" sheetId="8" state="visible" r:id="rId10"/>
    <sheet name="D Risikoskala" sheetId="9" state="visible" r:id="rId11"/>
    <sheet name="Fragen 1-15" sheetId="10" state="visible" r:id="rId12"/>
    <sheet name="Quellen" sheetId="11" state="visible" r:id="rId13"/>
  </sheets>
  <definedNames>
    <definedName function="false" hidden="true" localSheetId="2" name="_xlnm._FilterDatabase" vbProcedure="false">'A Bausteine'!$A$1:$P$198</definedName>
    <definedName function="false" hidden="true" localSheetId="3" name="_xlnm._FilterDatabase" vbProcedure="false">'A Fehlende Bausteine'!$A$1:$H$29</definedName>
    <definedName function="false" hidden="true" localSheetId="4" name="_xlnm._FilterDatabase" vbProcedure="false">'A Kennzahlen'!$A$1:$E$29</definedName>
    <definedName function="false" hidden="true" localSheetId="5" name="_xlnm._FilterDatabase" vbProcedure="false">'B Vorlagen'!$A$1:$F$19</definedName>
    <definedName function="false" hidden="true" localSheetId="7" name="_xlnm._FilterDatabase" vbProcedure="false">'C Fehlende Pflichten'!$A$1:$D$13</definedName>
    <definedName function="false" hidden="true" localSheetId="6" name="_xlnm._FilterDatabase" vbProcedure="false">'C Katalog'!$A$1:$M$29</definedName>
    <definedName function="false" hidden="true" localSheetId="8" name="_xlnm._FilterDatabase" vbProcedure="false">'D Risikoskala'!$A$1:$B$8</definedName>
    <definedName function="false" hidden="true" localSheetId="9" name="_xlnm._FilterDatabase" vbProcedure="false">'Fragen 1-15'!$A$1:$E$16</definedName>
    <definedName function="false" hidden="true" localSheetId="10" name="_xlnm._FilterDatabase" vbProcedure="false">Quellen!$A$1:$B$17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<sst xmlns="http://schemas.openxmlformats.org/spreadsheetml/2006/main" count="3210" uniqueCount="1540">
  <si>
    <t xml:space="preserve">Betriebsklar – Ergebnis der fachlichen Durchsicht Arbeitsschutz (Prüfmappe Stand Oktober 2026)</t>
  </si>
  <si>
    <t xml:space="preserve">Geprüft von: [Name], Fachkraft für Arbeitssicherheit · Stand: 22.10.2026 · Auftraggeber: Lang Ventures UG (haftungsbeschränkt) i. G., Reutlingen</t>
  </si>
  <si>
    <t xml:space="preserve">Grenzen der Durchsicht: Die Bewertung bezieht sich auf die fachlichen Inhalte der Prüfmappe zum genannten Stand. Sie ersetzt nicht die sicherheitstechnische und betriebsärztliche Betreuung der einzelnen Betriebe nach ASiG/DGUV Vorschrift 2. Arbeitsmedizinische Punkte (Frage 15, B-105) bestätigt ein Betriebsarzt, Grenzwerte im Prüfprotokoll Elektro eine Elektrofachkraft. Bei Änderungen an Bausteinen oder am Regelwerk ist eine erneute Prüfung nötig.</t>
  </si>
  <si>
    <t xml:space="preserve">Aufbau</t>
  </si>
  <si>
    <t xml:space="preserve">Übersicht – Zählung der Ergebnisse (Formeln).</t>
  </si>
  <si>
    <t xml:space="preserve">A Bausteine – alle 197 Bausteine aus bausteine.csv mit Ergebnis, Korrektur, Fundstelle, Begründung, Prüfstand. Gelbe Spalten: zur Dokumentation der Umsetzung durch den Anbieter.</t>
  </si>
  <si>
    <t xml:space="preserve">A Fehlende Bausteine – Vorschläge für Gefährdungen, die je Branche fehlen (Frage 1, 5, 6).</t>
  </si>
  <si>
    <t xml:space="preserve">A Kennzahlen – alle Grenz- und Richtwerte mit Fundstelle und Prüfstand (Frage 3).</t>
  </si>
  <si>
    <t xml:space="preserve">B Vorlagen – Befunde zu den sechs Vorlagen (Fragen 7–11).</t>
  </si>
  <si>
    <t xml:space="preserve">C Katalog – 28 Katalogeinträge mit Ergebnis zu Auslöser, Frist, Sanktion (Fragen 12, 13).</t>
  </si>
  <si>
    <t xml:space="preserve">C Fehlende Pflichten – Pflichten, die im Arbeitsschutz-Katalog fehlen.</t>
  </si>
  <si>
    <t xml:space="preserve">D Risikoskala – Bewertung und Vorschlag (Frage 14).</t>
  </si>
  <si>
    <t xml:space="preserve">Fragen 1-15 – Kurzantworten auf die 15 Fragen der Prüfmappe, mit Verweis auf die Blätter.</t>
  </si>
  <si>
    <t xml:space="preserve">Quellen – in der Durchsicht eingesehene Fundstellen.</t>
  </si>
  <si>
    <t xml:space="preserve">Legende Ergebnis</t>
  </si>
  <si>
    <t xml:space="preserve">frei = fachlich in Ordnung, kann übernommen werden · ändern = Inhalt anpassen (Text in Spalte „Korrektur“) · ändern (Quelle) = Inhalt in Ordnung, Fundstelle ersetzen · streichen = entfernen · ergänzen = neuer Baustein/neue Pflicht</t>
  </si>
  <si>
    <t xml:space="preserve">Legende Prüfstand</t>
  </si>
  <si>
    <t xml:space="preserve">bestätigt = Wert/Fundstelle an Primär- oder BG-Quelle nachgelesen · plausibel = fachlich zutreffend; Paragrafen-/Abschnittsnummer bei Übernahme in die App im Wortlaut abgleichen · offen = belastbare Fachquelle fehlt bzw. Bestätigung durch Betriebsarzt/Elektrofachkraft erforderlich</t>
  </si>
  <si>
    <t xml:space="preserve">Gelb hinterlegte Zellen = vom Anbieter auszufüllen (Umsetzung: umgesetzt / abweichend umgesetzt / offen).</t>
  </si>
  <si>
    <t xml:space="preserve">Wichtigste Befunde</t>
  </si>
  <si>
    <t xml:space="preserve">1. B-036 Fettbrand: Löschvermögen und Stufen (≤50 l, 50–100 l, &gt;100 l) falsch zusammengefasst – BGN ASI 2.15.</t>
  </si>
  <si>
    <t xml:space="preserve">2. Risikoskala: „gering = unwahrscheinlich ODER leicht“ stuft seltene, aber schwere Gefährdungen (Stromschlag, Fettbrand) zu niedrig ein; Vorbelegung „mittel“ streichen.</t>
  </si>
  <si>
    <t xml:space="preserve">3. Katalog Unfallanzeige: Auslöser muss Tod oder mehr als 3 Tage Arbeitsunfähigkeit sein (§ 193 Abs. 1 SGB VII); Sanktion bis 2.500 € (§ 209 Abs. 1 Nr. 9, Abs. 3) bestätigt.</t>
  </si>
  <si>
    <t xml:space="preserve">4. Katalog Arbeitsmittelprüfung: Auslöser nur Handwerk/Bau/Reinigung – Leitern, Regale, Aufschnitt-, Knet-, Hebe- und Druckluftgeräte gibt es in fast allen Branchen.</t>
  </si>
  <si>
    <t xml:space="preserve">5. Unterweisung Gefahrstoffe/Biostoffe: Unterschrift der Unterwiesenen vorgeschrieben (§ 14 Abs. 2 GefStoffV) – eingetippter Name genügt dort nicht.</t>
  </si>
  <si>
    <t xml:space="preserve">6. Fehlende Vorlagen: Betriebsanweisung für Maschinen (§ 12 BetrSichV) und für Biostoffe; GB ohne Abschnitt Prüffristen der Arbeitsmittel (§ 3 Abs. 6 BetrSichV).</t>
  </si>
  <si>
    <t xml:space="preserve">7. Gebäudereinigung (5 Bausteine) und Gastronomie (CO2-Schankanlagen, Gas) haben deutliche Lücken.</t>
  </si>
  <si>
    <t xml:space="preserve">8. Krebserzeugende Tätigkeiten (Hartholzstaub, Dieselmotoremissionen): Expositionsverzeichnis nach § 10a GefStoffV n. F. fehlt.</t>
  </si>
  <si>
    <t xml:space="preserve">Übersicht der Ergebnisse</t>
  </si>
  <si>
    <t xml:space="preserve">Ergebnis</t>
  </si>
  <si>
    <t xml:space="preserve">Bausteine</t>
  </si>
  <si>
    <t xml:space="preserve">Katalog</t>
  </si>
  <si>
    <t xml:space="preserve">frei</t>
  </si>
  <si>
    <t xml:space="preserve">ändern</t>
  </si>
  <si>
    <t xml:space="preserve">streichen</t>
  </si>
  <si>
    <t xml:space="preserve">Summe</t>
  </si>
  <si>
    <t xml:space="preserve">davon umgesetzt (Anbieter)</t>
  </si>
  <si>
    <t xml:space="preserve">Bausteine nach Prüfstand</t>
  </si>
  <si>
    <t xml:space="preserve">bestätigt</t>
  </si>
  <si>
    <t xml:space="preserve">plausibel</t>
  </si>
  <si>
    <t xml:space="preserve">offen</t>
  </si>
  <si>
    <t xml:space="preserve">Nr</t>
  </si>
  <si>
    <t xml:space="preserve">Branchengruppe</t>
  </si>
  <si>
    <t xml:space="preserve">Vorlage</t>
  </si>
  <si>
    <t xml:space="preserve">Feld</t>
  </si>
  <si>
    <t xml:space="preserve">Baustein</t>
  </si>
  <si>
    <t xml:space="preserve">Inhalt (Maßnahmen)</t>
  </si>
  <si>
    <t xml:space="preserve">Kennzahlen</t>
  </si>
  <si>
    <t xml:space="preserve">Quelle bisher</t>
  </si>
  <si>
    <t xml:space="preserve">Markierung bisher</t>
  </si>
  <si>
    <t xml:space="preserve">Korrektur / neue Formulierung</t>
  </si>
  <si>
    <t xml:space="preserve">Fundstelle (bestätigt / vorgeschlagen)</t>
  </si>
  <si>
    <t xml:space="preserve">Begründung</t>
  </si>
  <si>
    <t xml:space="preserve">Prüfstand</t>
  </si>
  <si>
    <t xml:space="preserve">Umsetzung (Anbieter)</t>
  </si>
  <si>
    <t xml:space="preserve">Bemerkung Anbieter</t>
  </si>
  <si>
    <t xml:space="preserve">B-001</t>
  </si>
  <si>
    <t xml:space="preserve">Alle Branchen (ohne Gruppe)</t>
  </si>
  <si>
    <t xml:space="preserve">Gefährdungsbeurteilung</t>
  </si>
  <si>
    <t xml:space="preserve">Mitgewirkt haben</t>
  </si>
  <si>
    <t xml:space="preserve">Betreuung im Unternehmermodell der Berufsgenossenschaft</t>
  </si>
  <si>
    <t xml:space="preserve">ohne Quelle</t>
  </si>
  <si>
    <t xml:space="preserve">Formulierung präzisieren: „Alternative bedarfsorientierte Betreuung (Unternehmermodell) der BG nach DGUV Vorschrift 2, Anlage 3 – Teilnahme an Motivations-/Informationsmaßnahmen am … ; anlassbezogene Betreuung durch …“. Zusätzlich Auswahl „Regelbetreuung nach DGUV V2 Anlage 1 durch (Name Sifa / Betriebsarzt / Dienst)“ anbieten.</t>
  </si>
  <si>
    <t xml:space="preserve">ASiG §§ 2, 5; DGUV Vorschrift 2 (der jeweiligen BG) Anlage 1 bzw. 3</t>
  </si>
  <si>
    <t xml:space="preserve">Heutiger Text sagt nicht, dass das Modell aktive Pflichten des Unternehmers (Schulung, anlassbezogene Betreuung) voraussetzt.</t>
  </si>
  <si>
    <t xml:space="preserve">B-002</t>
  </si>
  <si>
    <t xml:space="preserve">Friseur</t>
  </si>
  <si>
    <t xml:space="preserve">Gefährdungen</t>
  </si>
  <si>
    <t xml:space="preserve">Ausrutschen, Stolpern und Stürzen durch glatte Böden, Schmierfilme, Unebenheiten oder verrutschende Fußmatten.</t>
  </si>
  <si>
    <t xml:space="preserve">Faktor: Gestaltung und Einrichtung der Arbeitsstätte und des Arbeitsplatzes Maßnahmen: Rutschhemmenden, leicht zu reinigenden Bodenbelag verwenden (mindestens Bewertungsgruppe R 9). Fußmatten gegen Verrutschen sichern; Bodenschäden sofort beseitigen. Reinigungsmittel ohne Schmierfilm und sparsam einsetzen.</t>
  </si>
  <si>
    <t xml:space="preserve">R 9</t>
  </si>
  <si>
    <t xml:space="preserve">BGW</t>
  </si>
  <si>
    <t xml:space="preserve">Quelle genannt</t>
  </si>
  <si>
    <t xml:space="preserve">ändern (Quelle)</t>
  </si>
  <si>
    <t xml:space="preserve">BGW-Branchenhilfe Friseur; ASR A1.5 Anhang 2 nennt Friseursalons nach dieser Durchsicht nicht ausdrücklich – Fundstelle der BGW mit Titel/Seite angeben</t>
  </si>
  <si>
    <t xml:space="preserve">R 9 als Mindestwert für Kundenbereich plausibel; Nassbereich Haarwäsche ggf. höher (GB).</t>
  </si>
  <si>
    <t xml:space="preserve">B-003</t>
  </si>
  <si>
    <t xml:space="preserve">Versperrte Verkehrs- und Fluchtwege, zu enge Bewegungsflächen, herumstehende bewegliche Geräte.</t>
  </si>
  <si>
    <t xml:space="preserve">Faktor: Gestaltung und Einrichtung der Arbeitsstätte und des Arbeitsplatzes Maßnahmen: Geeignete Abstellflächen für bewegliche Geräte (z. B. Climazone) schaffen; ausreichend Bewegungsfläche am Arbeitsplatz. Fluchtwege und Notausgänge dauerhaft frei halten und kennzeichnen; Flucht- und Rettungsplan erstellen.</t>
  </si>
  <si>
    <t xml:space="preserve">ASR A1.8, A2.3; BGW</t>
  </si>
  <si>
    <t xml:space="preserve">B-004</t>
  </si>
  <si>
    <t xml:space="preserve">Unzureichende Frischluftzufuhr, dadurch Belastung durch Dämpfe und Aerosole von Friseurchemikalien.</t>
  </si>
  <si>
    <t xml:space="preserve">Faktor: Gestaltung und Einrichtung der Arbeitsstätte und des Arbeitsplatzes Maßnahmen: Lüftung mit Richtwert 100 m³ Frischluft pro Stunde und Beschäftigtem sicherstellen, auch im Winter (Abluftventilatoren, RLT-Anlage oder Querlüftung). Haarspray nur in ausreichend belüfteten Räumen versprühen.</t>
  </si>
  <si>
    <t xml:space="preserve">100 m³</t>
  </si>
  <si>
    <t xml:space="preserve">TRGS 530</t>
  </si>
  <si>
    <t xml:space="preserve">„Richtwert 100 m³/h Frischluft je Mitarbeiter (sofern GB nichts anderes ergibt), ganzjährig wirksam.“</t>
  </si>
  <si>
    <t xml:space="preserve">TRGS 530 Nr. 5.2 Abs. 1</t>
  </si>
  <si>
    <t xml:space="preserve">Wert bestätigt („je Mitarbeiter“).</t>
  </si>
  <si>
    <t xml:space="preserve">B-005</t>
  </si>
  <si>
    <t xml:space="preserve">Feuchtarbeit (Haare waschen, Arbeiten an feuchtem Haar, häufiges Händewaschen) als Hauptrisikofaktor für Handekzeme.</t>
  </si>
  <si>
    <t xml:space="preserve">Faktor: Physikalische, chemische und biologische Einwirkungen Maßnahmen: Unvermeidbare Feuchtarbeit auf mehrere Beschäftigte verteilen; hautbelastende und nicht belastende Tätigkeiten abwechseln. Feuchtarbeit möglichst unter 4 Stunden täglich halten, angestrebt unter 2 Stunden. Beim Haarewaschen langstulpige Einmalhandschuhe (Nitril oder Vinyl) tragen; Hautschutz- und Händehygieneplan anwenden.</t>
  </si>
  <si>
    <t xml:space="preserve">unter 4 Stunden; unter 2 Stunden</t>
  </si>
  <si>
    <t xml:space="preserve">Satz ergänzen: „Feuchtarbeit &gt; 2 Std./Tag: Angebotsvorsorge; ≥ 4 Std./Tag: Pflichtvorsorge (ArbMedVV).“</t>
  </si>
  <si>
    <t xml:space="preserve">TRGS 530 Nr. 5.3 Abs. 2 (&lt; 4 Std., angestrebt &lt; 2 Std.); ArbMedVV Anhang Teil 1 Abs. 1 Nr. 2a, Abs. 2 Nr. 2e</t>
  </si>
  <si>
    <t xml:space="preserve">Werte bestätigt; Quelle ist TRGS 530, nicht nur BGW.</t>
  </si>
  <si>
    <t xml:space="preserve">B-006</t>
  </si>
  <si>
    <t xml:space="preserve">Hautkontakt mit Friseurchemikalien (Färbe-, Blondier-, Dauerwellmittel) kann zu Allergien und Hautreizungen führen.</t>
  </si>
  <si>
    <t xml:space="preserve">Faktor: Physikalische, chemische und biologische Einwirkungen Maßnahmen: Fertig portionierte Packungen bevorzugen; sorgfältig dosieren. Eigener Misch- und Umfüllplatz mit flüssigkeitsdichter, abwaschbarer Arbeitsfläche (entfällt bei geschlossenen Systemen). Mischen und Auftragen nur mit geeigneten Applikatoren. Beim Färben, Blondieren, Dauerwellen und Mischen Friseur-Einmalhandschuhe (DIN EN ISO 374-6) tragen und nach einmaligem Gebrauch entsorgen.</t>
  </si>
  <si>
    <t xml:space="preserve">Quelle ergänzen.</t>
  </si>
  <si>
    <t xml:space="preserve">TRGS 530 Nr. 5.2 Abs. 2, 5.4; DIN EN ISO 374-6:2025-11 (Schutzhandschuhe für Friseure)</t>
  </si>
  <si>
    <t xml:space="preserve">DIN EN ISO 374-6 existiert (Ausgabe 11/2025) – T-90 erledigt.</t>
  </si>
  <si>
    <t xml:space="preserve">B-007</t>
  </si>
  <si>
    <t xml:space="preserve">Einatmen von Stäuben (Blondiermittel), Dämpfen (Dauerwelle) und Sprühnebel (Haarspray) reizt die Atemwege.</t>
  </si>
  <si>
    <t xml:space="preserve">Faktor: Physikalische, chemische und biologische Einwirkungen Maßnahmen: Für ausreichende Lüftung sorgen. Sprühnebel, Stäube und Dämpfe nicht einatmen; nicht in Richtung Augen sprühen.</t>
  </si>
  <si>
    <t xml:space="preserve">TRGS 530 Nr. 5.2, 5.3 Abs. 3</t>
  </si>
  <si>
    <t xml:space="preserve">B-008</t>
  </si>
  <si>
    <t xml:space="preserve">Hautschäden durch Reinigungs- und Desinfektionsmittel.</t>
  </si>
  <si>
    <t xml:space="preserve">Faktor: Physikalische, chemische und biologische Einwirkungen Maßnahmen: Desinfektion im Wischverfahren statt Sprühen oder Vernebeln; Desinfektionsmittelbäder abdecken. Chemikalienbeständige Schutzhandschuhe (DIN EN ISO 374), ggf. mit längerem Schaft, bei Reinigung und Desinfektion tragen.</t>
  </si>
  <si>
    <t xml:space="preserve">BGW; TRGS 525/401</t>
  </si>
  <si>
    <t xml:space="preserve">B-009</t>
  </si>
  <si>
    <t xml:space="preserve">Brand- und Explosionsgefahr durch alkoholische Desinfektionsmittel, Spraydosen und entzündbare Flüssigkeiten.</t>
  </si>
  <si>
    <t xml:space="preserve">Faktor: Sonstige Gefährdungen Maßnahmen: Brennbare Flüssigkeiten nicht an Arbeitsplätzen, unter Treppen oder in Fluchtwegen lagern; am Arbeitsplatz höchstens den Tagesbedarf. Spraydosen nicht über 50 °C erwärmen, nicht in offene Flammen oder beim Rauchen sprühen. Feuerlöscher bereitstellen (bis 50 m² Grundfläche Schaumlöscher A/B mit 6 Löschmitteleinheiten), alle zwei Jahre prüfen lassen.</t>
  </si>
  <si>
    <t xml:space="preserve">über 50 °C; bis 50 m²; 6 Löschmitteleinheiten</t>
  </si>
  <si>
    <t xml:space="preserve">Löscher-Art als Beispiel kennzeichnen.</t>
  </si>
  <si>
    <t xml:space="preserve">ASR A2.2 Tab. 3 (bis 50 m²: 6 LE) und Nr. 5.4 (Prüfung spätestens alle 2 Jahre)</t>
  </si>
  <si>
    <t xml:space="preserve">B-010</t>
  </si>
  <si>
    <t xml:space="preserve">Absturz von Leitern oder Tritten, umkippende Regale, herabfallende Kartons.</t>
  </si>
  <si>
    <t xml:space="preserve">Faktor: Gestaltung, Auswahl und Einsatz von Arbeitsmitteln (Arbeitsstoffe, Maschinen, Geräte, Anlagen) und der Umgang damit Maßnahmen: Nur geeignete Aufstiegshilfen verwenden; schadhafte Leitern sofort aussortieren. Leitern im Bestands- und Wartungsplan erfassen und regelmäßig prüfen; Standsicherheit von Regalen regelmäßig prüfen. Schwere Lasten unten, leichte oben lagern.</t>
  </si>
  <si>
    <t xml:space="preserve">DGUV Information 208-016; § 14 BetrSichV</t>
  </si>
  <si>
    <t xml:space="preserve">B-011</t>
  </si>
  <si>
    <t xml:space="preserve">Elektrische Gefährdung durch nicht geprüfte oder beschädigte Elektrogeräte und Anlagen.</t>
  </si>
  <si>
    <t xml:space="preserve">Faktor: Gestaltung, Auswahl und Einsatz von Arbeitsmitteln (Arbeitsstoffe, Maschinen, Geräte, Anlagen) und der Umgang damit Maßnahmen: Alle Geräte und Anlagen in einem Bestands- und Wartungsplan erfassen und Prüftermine festlegen. Prüfungen termin- und fachgerecht durchführen lassen und Ergebnisse dokumentieren.</t>
  </si>
  <si>
    <t xml:space="preserve">DGUV Vorschrift 3; § 14 BetrSichV</t>
  </si>
  <si>
    <t xml:space="preserve">B-012</t>
  </si>
  <si>
    <t xml:space="preserve">Ungünstige Körperhaltung und langes Stehen bei der Arbeit am Kunden.</t>
  </si>
  <si>
    <t xml:space="preserve">Faktor: Gestaltung von Arbeits- und Fertigungsverfahren, Arbeitsabläufen und Arbeitszeit und deren Zusammenwirken Maßnahmen: Frisierstühle und Haarwaschbecken individuell und einfach einstellbar ausführen. Sitzhocker für Beschäftigte bereitstellen.</t>
  </si>
  <si>
    <t xml:space="preserve">B-013</t>
  </si>
  <si>
    <t xml:space="preserve">Stress und Hektik in Stoßzeiten, zu lange Arbeitszeiten, fehlende oder zu kurze Pausen und Ruhezeiten.</t>
  </si>
  <si>
    <t xml:space="preserve">Faktor: Gestaltung von Arbeits- und Fertigungsverfahren, Arbeitsabläufen und Arbeitszeit und deren Zusammenwirken Maßnahmen: In Spitzenzeiten ausreichend Personal einsetzen; Zeitpuffer für Übergaben und Pausen einplanen. Dienstplanung unter Einbeziehung der Wünsche der Beschäftigten. Höchstarbeitszeit, Pausen und Ruhezeiten einhalten; Mehrarbeit dokumentieren.</t>
  </si>
  <si>
    <t xml:space="preserve">ArbZG; BGW</t>
  </si>
  <si>
    <t xml:space="preserve">B-014</t>
  </si>
  <si>
    <t xml:space="preserve">Zeitdruck, Konflikte im Team, unzufriedene Kundschaft sowie Aggressionen und Übergriffe.</t>
  </si>
  <si>
    <t xml:space="preserve">Faktor: Psychische Belastungen bei der Arbeit Maßnahmen: Aufgaben, Zuständigkeiten und Entscheidungskompetenzen klar regeln, dokumentieren und kommunizieren. Verhalten in Notsituationen festlegen; Arbeitspläne so gestalten, dass niemand allein arbeitet. Bei Konflikten mit Kundschaft Rückendeckung geben und Vermittlungsgespräche anbieten.</t>
  </si>
  <si>
    <t xml:space="preserve">„Arbeitspläne so gestalten, dass niemand allein arbeitet“ → „Alleinarbeit möglichst vermeiden, sonst Notruf/Erreichbarkeit regeln“.</t>
  </si>
  <si>
    <t xml:space="preserve">BGW; DGUV Regel 112-139</t>
  </si>
  <si>
    <t xml:space="preserve">Absolute Formulierung im Kleinstsalon nicht erfüllbar.</t>
  </si>
  <si>
    <t xml:space="preserve">B-015</t>
  </si>
  <si>
    <t xml:space="preserve">Fehlende Kenntnisse über Gefahrstoffe, Hautschutz und Hygieneregeln.</t>
  </si>
  <si>
    <t xml:space="preserve">Faktor: Unzureichende Qualifikation und Unterweisung der Beschäftigten Maßnahmen: Regelmäßig unterweisen und die Unterweisung mit Betriebsanweisung, Reinigungs- und Desinfektionsplan sowie Hautschutzplan verknüpfen. Unterweisung dokumentieren (z. B. mit dem Unterweisungsnachweis).</t>
  </si>
  <si>
    <t xml:space="preserve">§ 12 ArbSchG; § 14 GefStoffV</t>
  </si>
  <si>
    <t xml:space="preserve">B-016</t>
  </si>
  <si>
    <t xml:space="preserve">Verzögerte Hilfe bei Unfällen und Notfällen.</t>
  </si>
  <si>
    <t xml:space="preserve">Faktor: Sonstige Gefährdungen Maßnahmen: Verbandkasten nach DIN 13157 (Typ C) bereitstellen; Standort allen Beschäftigten bekannt machen. Anschrift und Telefonnummer des Rettungsdienstes deutlich aushängen.</t>
  </si>
  <si>
    <t xml:space="preserve">Typ C</t>
  </si>
  <si>
    <t xml:space="preserve">Quelle präzisieren.</t>
  </si>
  <si>
    <t xml:space="preserve">ASR A4.3 Tab. 1; DIN 13157</t>
  </si>
  <si>
    <t xml:space="preserve">B-017</t>
  </si>
  <si>
    <t xml:space="preserve">Kosmetik</t>
  </si>
  <si>
    <t xml:space="preserve">Stolpern, Ausrutschen und Stürzen durch nasse Böden, Schmierfilme, Stufen oder Kabel.</t>
  </si>
  <si>
    <t xml:space="preserve">Faktor: Gestaltung und Einrichtung der Arbeitsstätte und des Arbeitsplatzes Maßnahmen: Rutschhemmende Böden und Schmutzfangmatten; Kabel bündeln; Stufenkanten markieren. Grundreinigung außerhalb des Publikumsverkehrs; nasse Bereiche mit Warnschildern kennzeichnen. Flache, rutschhemmende Schuhe tragen.</t>
  </si>
  <si>
    <t xml:space="preserve">BGW 04-05-080, Stand 03/2023, S. 27–28</t>
  </si>
  <si>
    <t xml:space="preserve">BGW 04-05-080; ASR A1.5</t>
  </si>
  <si>
    <t xml:space="preserve">B-018</t>
  </si>
  <si>
    <t xml:space="preserve">Unzureichende Beleuchtung bei Präzisionsarbeiten sowie an Eingang und Treppen.</t>
  </si>
  <si>
    <t xml:space="preserve">Faktor: Gestaltung und Einrichtung der Arbeitsstätte und des Arbeitsplatzes Maßnahmen: Arbeitsplätze für Kosmetik- und Sticharbeiten mit mindestens 750 Lux beleuchten (ASR A3.4 beachten). Eingang und Treppen ausreichend ausleuchten.</t>
  </si>
  <si>
    <t xml:space="preserve">mindestens 750 Lux</t>
  </si>
  <si>
    <t xml:space="preserve">BGW 04-05-080, S. 28, 31, 36, 39; ebenso BGW Sichere Seiten Friseur/Arbeitsplatz (Kosmetik 750 Lux)</t>
  </si>
  <si>
    <t xml:space="preserve">„Präzisionsarbeiten (Maniküre, Pediküre, Permanent-Make-up)“ statt „Sticharbeiten“. Hinweis: ASR A3.4 Anh. 3 nennt für Kosmetik keinen Wert (Haarpflege Nr. 12.1: 500 lx); 750 lx ist BGW-Empfehlung.</t>
  </si>
  <si>
    <t xml:space="preserve">BGW 04-05-080; ASR A3.4 Anhang 3</t>
  </si>
  <si>
    <t xml:space="preserve">ASR-Verweis suggeriert ASR-Wert, den es nicht gibt (nachgelesen).</t>
  </si>
  <si>
    <t xml:space="preserve">B-019</t>
  </si>
  <si>
    <t xml:space="preserve">Hautbelastung durch Feuchtarbeit, häufiges Händewaschen, langes Handschuhtragen sowie Desinfektions- und Reinigungsmittel.</t>
  </si>
  <si>
    <t xml:space="preserve">Faktor: Physikalische, chemische und biologische Einwirkungen Maßnahmen: Feucht- und Trockenarbeit wechseln und zeitlich begrenzen. pH-neutrale, farb- und duftstofffreie Hautreinigungsmittel und rückfettende Händedesinfektion bereitstellen; Hautschutz- und Händehygieneplan aufstellen. Latexfreie Schutzhandschuhe verwenden.</t>
  </si>
  <si>
    <t xml:space="preserve">BGW 04-05-080, S. 21–22</t>
  </si>
  <si>
    <t xml:space="preserve">BGW; TRGS 401</t>
  </si>
  <si>
    <t xml:space="preserve">B-020</t>
  </si>
  <si>
    <t xml:space="preserve">Kleber, Aktivatoren und Reiniger bei der Nagelmodellage reizen Haut, Augen und Atemwege.</t>
  </si>
  <si>
    <t xml:space="preserve">Faktor: Physikalische, chemische und biologische Einwirkungen Maßnahmen: Weniger gefährliche Produkte einsetzen; Mengen minimieren. Absaugung am Arbeitsplatz; mindestens Fensterlüftung. Entzündbare Mittel kühl und trocken lagern. Einmalhandschuhe und Schutzbrille tragen.</t>
  </si>
  <si>
    <t xml:space="preserve">BGW 04-05-080, S. 41</t>
  </si>
  <si>
    <t xml:space="preserve">BGW 04-05-080</t>
  </si>
  <si>
    <t xml:space="preserve">B-021</t>
  </si>
  <si>
    <t xml:space="preserve">Einatmen von Stäuben beim Feilen und Fräsen von Kunstnägeln oder Hornhaut.</t>
  </si>
  <si>
    <t xml:space="preserve">Faktor: Physikalische, chemische und biologische Einwirkungen Maßnahmen: Absaugung oder Nass-/Sprühtechnik einsetzen. FFP2-Maske und Schutzbrille tragen.</t>
  </si>
  <si>
    <t xml:space="preserve">BGW 04-05-080, S. 18, 41</t>
  </si>
  <si>
    <t xml:space="preserve">B-022</t>
  </si>
  <si>
    <t xml:space="preserve">Infektionsgefahr (z. B. Hepatitis, HIV) durch Blutkontakt sowie Stich- und Schnittverletzungen.</t>
  </si>
  <si>
    <t xml:space="preserve">Faktor: Physikalische, chemische und biologische Einwirkungen Maßnahmen: Einweglanzetten bzw. Instrumente mit Sicherheitssystem und durchstichsichere Entsorgungsbehälter verwenden. Instrumente nach jedem Hautkontakt desinfizieren bzw. aufbereiten; Hygieneplan aufstellen; Verletzungen im Verbandbuch dokumentieren. Einmalhandschuhe tragen und beschädigte sofort wechseln.</t>
  </si>
  <si>
    <t xml:space="preserve">BGW 04-05-080, S. 35–36, 39–40, 42</t>
  </si>
  <si>
    <t xml:space="preserve">„Hygieneplan“ → Bezug Landes-Hygieneverordnung; Vorgehen nach Stichverletzung (D-Arzt, ggf. PEP binnen 2 Std.) ergänzen.</t>
  </si>
  <si>
    <t xml:space="preserve">BioStoffV § 11; TRBA 250 (sinngemäß); BGW</t>
  </si>
  <si>
    <t xml:space="preserve">Zeitkritik der PEP fehlt.</t>
  </si>
  <si>
    <t xml:space="preserve">B-023</t>
  </si>
  <si>
    <t xml:space="preserve">Sensibilisierung durch Konservierungs- und Duftstoffe in Kosmetikprodukten (z. B. Massageöle, Cremes, Nagellack).</t>
  </si>
  <si>
    <t xml:space="preserve">Faktor: Physikalische, chemische und biologische Einwirkungen Maßnahmen: Nur zugelassene, der EU-Kosmetikverordnung entsprechende Produkte verwenden; Mengen gering halten. Betriebsanweisung erstellen; arbeitsmedizinische Vorsorge berücksichtigen.</t>
  </si>
  <si>
    <t xml:space="preserve">BGW 04-05-080, S. 33, 37</t>
  </si>
  <si>
    <t xml:space="preserve">B-024</t>
  </si>
  <si>
    <t xml:space="preserve">Augenschäden durch optische Strahlung bei Laser- und IPL-Anwendungen.</t>
  </si>
  <si>
    <t xml:space="preserve">Faktor: Physikalische, chemische und biologische Einwirkungen Maßnahmen: Nur zugelassene Geräte einsetzen; Anwendung nur durch fachkundige Personen (NiSV beachten). Geeignete Laser- bzw. Lichtschutzbrille tragen.</t>
  </si>
  <si>
    <t xml:space="preserve">BGW 04-05-080, S. 40</t>
  </si>
  <si>
    <t xml:space="preserve">Ergänzen: „Laserschutzbeauftragten bestellen bei Lasern der Klassen 3R, 3B, 4 (§ 5 Abs. 2 OStrV); Fachkunde nach NiSV.“</t>
  </si>
  <si>
    <t xml:space="preserve">OStrV; TROS Laserstrahlung; NiSV</t>
  </si>
  <si>
    <t xml:space="preserve">Beschäftigtenschutz (OStrV) fehlt, NiSV betrifft Kundenschutz.</t>
  </si>
  <si>
    <t xml:space="preserve">B-025</t>
  </si>
  <si>
    <t xml:space="preserve">Stromschlag und Brandgefahr durch beschädigte Geräte, Leitungen oder Lampen, besonders bei Feuchtigkeit.</t>
  </si>
  <si>
    <t xml:space="preserve">Faktor: Gestaltung, Auswahl und Einsatz von Arbeitsmitteln (Arbeitsstoffe, Maschinen, Geräte, Anlagen) und der Umgang damit Maßnahmen: Geräte mit CE-/GS-Kennzeichnung beschaffen; Fehlerstrom-Schutzschalter (FI/RCD) einsetzen. Sicht- und Funktionskontrolle vor Benutzung; defekte Geräte sofort aus dem Verkehr ziehen. Wiederkehrende Prüfung ortsveränderlicher Geräte (je nach Fehlerquote 6 Monate bis 2 Jahre) durch Elektrofachkraft oder befähigte Person.</t>
  </si>
  <si>
    <t xml:space="preserve">6 Monate; bis 2 Jahre</t>
  </si>
  <si>
    <t xml:space="preserve">BGW 04-05-080, S. 25–26</t>
  </si>
  <si>
    <t xml:space="preserve">DGUV V3 DA Tab. 1B; BGW</t>
  </si>
  <si>
    <t xml:space="preserve">B-026</t>
  </si>
  <si>
    <t xml:space="preserve">Quetsch- und Scherstellen an höhenverstellbaren Behandlungsliegen, unbeabsichtigtes Auslösen der Verstellung.</t>
  </si>
  <si>
    <t xml:space="preserve">Faktor: Gestaltung, Auswahl und Einsatz von Arbeitsmitteln (Arbeitsstoffe, Maschinen, Geräte, Anlagen) und der Umgang damit Maßnahmen: Scherstellen abschirmen; Fußtaste gegen Fehlbedienung sichern; Bewegung nur bei gedrückter Taste. Liege bei Reinigung gegen Verstellen sichern; Unterweisung auch für Reinigungskräfte.</t>
  </si>
  <si>
    <t xml:space="preserve">BGW 04-05-080, S. 26–27, 29–30</t>
  </si>
  <si>
    <t xml:space="preserve">B-027</t>
  </si>
  <si>
    <t xml:space="preserve">Belastung des Muskel-Skelett-Systems durch langes Stehen oder Sitzen, ungünstige Haltung und enge Platzverhältnisse.</t>
  </si>
  <si>
    <t xml:space="preserve">Faktor: Gestaltung von Arbeits- und Fertigungsverfahren, Arbeitsabläufen und Arbeitszeit und deren Zusammenwirken Maßnahmen: Höhen- und neigungsverstellbare Liegen, einstellbare Stühle und Stehhilfen bereitstellen. Arbeitsmittel körpernah bereitstellen; Wechsel von Stehen und Sitzen sowie Lockerungspausen einplanen.</t>
  </si>
  <si>
    <t xml:space="preserve">BGW 04-05-080, S. 23–24</t>
  </si>
  <si>
    <t xml:space="preserve">B-028</t>
  </si>
  <si>
    <t xml:space="preserve">Zeit- und Leistungsdruck, häufige Unterbrechungen, Alleinarbeit sowie Aggression oder Überfälle.</t>
  </si>
  <si>
    <t xml:space="preserve">Faktor: Psychische Belastungen bei der Arbeit Maßnahmen: Gut beleuchteten Eingang und ggf. Alarmanlage vorsehen. Möglichst zu zweit arbeiten; Notfallplan; Bargeldbestand gering halten, Kassenabschluss ohne Publikum. Dienstplanung mit Wünschen der Beschäftigten; Handlungsspielräume einräumen.</t>
  </si>
  <si>
    <t xml:space="preserve">BGW 04-05-080, S. 30–31</t>
  </si>
  <si>
    <t xml:space="preserve">B-029</t>
  </si>
  <si>
    <t xml:space="preserve">Brand durch elektrische Defekte, überhitzte Geräte und entzündbare Desinfektions- und Reinigungsmittel.</t>
  </si>
  <si>
    <t xml:space="preserve">Faktor: Sonstige Gefährdungen Maßnahmen: Geeignete Feuerlöscher und Rauchmelder; Fluchtwege kennzeichnen und freihalten. Brennbare Stoffe getrennt lagern; Brandschutzhelfer benennen; Unterweisung und Räumungsübungen.</t>
  </si>
  <si>
    <t xml:space="preserve">BGW 04-05-080, S. 19–20</t>
  </si>
  <si>
    <t xml:space="preserve">ASR A2.2; BGW</t>
  </si>
  <si>
    <t xml:space="preserve">B-030</t>
  </si>
  <si>
    <t xml:space="preserve">Gastronomie / Café</t>
  </si>
  <si>
    <t xml:space="preserve">Ausrutschen und Stürzen auf nassen oder fettigen Böden.</t>
  </si>
  <si>
    <t xml:space="preserve">Faktor: Gestaltung und Einrichtung der Arbeitsstätte und des Arbeitsplatzes Maßnahmen: Ablaufrinnen bzw. Abläufe unter Kippbratpfannen, Kochkesseln und Entleerungsöffnungen. Nach der Reinigung möglichst trockenwischen; nasse Bereiche sperren oder kennzeichnen; Speisereste sofort entfernen. Rutschhemmende Schuhe tragen.</t>
  </si>
  <si>
    <t xml:space="preserve">DGUV Regel 110-003, Abschn. 3.3.2, 3.5, 3.7</t>
  </si>
  <si>
    <t xml:space="preserve">Bewertungsgruppe ergänzen: „Küchenboden R 12 (gewerbliche Küche/Spülraum)“.</t>
  </si>
  <si>
    <t xml:space="preserve">DGUV Regel 110-003; ASR A1.5 Anhang 2; BGN ASI 4.40</t>
  </si>
  <si>
    <t xml:space="preserve">Kennzahl fehlt bisher.</t>
  </si>
  <si>
    <t xml:space="preserve">B-031</t>
  </si>
  <si>
    <t xml:space="preserve">Hohe Temperatur und Feuchte sowie Schadstoffe in der Atemluft durch unzureichende Küchenlüftung; Brandlast im Abluftsystem.</t>
  </si>
  <si>
    <t xml:space="preserve">Faktor: Gestaltung und Einrichtung der Arbeitsstätte und des Arbeitsplatzes Maßnahmen: Abluftanlage mit ausreichend dimensionierter Haube und Aerosolabscheidern; Gasgeräte mit der Lüftung koppeln. Küchenlüftung vor den Kochgeräten einschalten; Abscheider je nach Verschmutzung, spätestens alle 14 Tage reinigen.</t>
  </si>
  <si>
    <t xml:space="preserve">14 Tage</t>
  </si>
  <si>
    <t xml:space="preserve">DGUV Regel 110-003, Abschn. 3.3.3</t>
  </si>
  <si>
    <t xml:space="preserve">„spätestens alle 14 Tage“ nur übernehmen, wenn in DGUV Regel 110-003 Abschn. 3.3.3 belegt – sonst „nach Herstellerangabe und Verschmutzung“; Reinigung der Abluftleitungen ergänzen (VDI 2052).</t>
  </si>
  <si>
    <t xml:space="preserve">DGUV Regel 110-003; VDI 2052</t>
  </si>
  <si>
    <t xml:space="preserve">14-Tage-Wert nicht verifiziert.</t>
  </si>
  <si>
    <t xml:space="preserve">B-032</t>
  </si>
  <si>
    <t xml:space="preserve">Eingeschlossenwerden und Kälteeinwirkung in Kühl- und Tiefkühlräumen.</t>
  </si>
  <si>
    <t xml:space="preserve">Faktor: Gestaltung und Einrichtung der Arbeitsstätte und des Arbeitsplatzes Maßnahmen: Kühlraumtüren von innen entriegelbar; Ausgänge mit Sicherheitsbeleuchtung oder nachleuchtender Markierung. Vor dem Abschließen prüfen, dass sich niemand mehr im Kühlraum befindet. Warme Kleidung bzw. Kälteschutzkleidung bei längerem Aufenthalt.</t>
  </si>
  <si>
    <t xml:space="preserve">DGUV Regel 110-003, Abschn. 3.1</t>
  </si>
  <si>
    <t xml:space="preserve">Ergänzen: „Notrufeinrichtung in begehbaren Tiefkühlräumen“ (Fundstelle prüfen).</t>
  </si>
  <si>
    <t xml:space="preserve">DGUV Regel 110-003 Abschn. 3.1</t>
  </si>
  <si>
    <t xml:space="preserve">B-033</t>
  </si>
  <si>
    <t xml:space="preserve">Schnittverletzungen an Messern, Aufschnittmaschinen und Gemüseschneidern.</t>
  </si>
  <si>
    <t xml:space="preserve">Faktor: Gestaltung, Auswahl und Einsatz von Arbeitsmitteln (Arbeitsstoffe, Maschinen, Geräte, Anlagen) und der Umgang damit Maßnahmen: Schutzeinrichtungen (Messerschutzring, Restehalter, Fingerschutz, Schutztrichter) funktionsfähig halten. Stopfer statt Hand verwenden; Maschine vor dem Abstreifen ausschalten; Messer passend zum Einsatzzweck. Schnitthemmende Handschuhe bei Schneidwerkzeugen und beim Messerwechsel.</t>
  </si>
  <si>
    <t xml:space="preserve">DGUV Regel 110-003, Abschn. 3.2</t>
  </si>
  <si>
    <t xml:space="preserve">DGUV Regel 110-003 Abschn. 3.2</t>
  </si>
  <si>
    <t xml:space="preserve">B-034</t>
  </si>
  <si>
    <t xml:space="preserve">Schnittverletzungen durch Glasbruch, Scherben und Dosen beim Spülen und Entsorgen.</t>
  </si>
  <si>
    <t xml:space="preserve">Faktor: Gestaltung, Auswahl und Einsatz von Arbeitsmitteln (Arbeitsstoffe, Maschinen, Geräte, Anlagen) und der Umgang damit Maßnahmen: Sammelbehälter und Hilfsmittel (Schaufel, Besen) für scharfe Abfälle; keine Müllbeutel. Scharfe Messer nicht in der Spülmaschine reinigen. Schnitthemmende Handschuhe beim Umgang mit Glas und scharfen Abfällen.</t>
  </si>
  <si>
    <t xml:space="preserve">DGUV Regel 110-003, Abschn. 3.5, 3.6</t>
  </si>
  <si>
    <t xml:space="preserve">DGUV Regel 110-003</t>
  </si>
  <si>
    <t xml:space="preserve">B-035</t>
  </si>
  <si>
    <t xml:space="preserve">Verbrennungen und Verbrühungen an heißen Oberflächen, durch Dampf und heiße Flüssigkeiten.</t>
  </si>
  <si>
    <t xml:space="preserve">Faktor: Physikalische, chemische und biologische Einwirkungen Maßnahmen: Druckgargeräte mit sicherer Dampf- und Heißwasserableitung; Deckelgriffe seitlich. Vor dem Öffnen von Druckgarern Druckausgleich herstellen; Behälter an den schmalen Seiten fassen. Hitzeschutzhandschuhe tragen.</t>
  </si>
  <si>
    <t xml:space="preserve">DGUV Regel 110-003, Abschn. 3.3.1, 3.3.2</t>
  </si>
  <si>
    <t xml:space="preserve">B-036</t>
  </si>
  <si>
    <t xml:space="preserve">Fettbrand und Fettexplosion an Fritteusen durch Überhitzung oder Wassereintrag.</t>
  </si>
  <si>
    <t xml:space="preserve">Faktor: Sonstige Gefährdungen Maßnahmen: Abstand bzw. Abtrennung zu wasserführenden Geräten; keine Wasserzapfstelle in der Nähe. Feuerlöscher der Brandklasse F bereitstellen (bis 50 l Fett mindestens ein geeigneter Löscher). Fritteusen nie unbeaufsichtigt betreiben; Fett rechtzeitig wechseln; eine im Löschen geübte Person muss anwesend sein.</t>
  </si>
  <si>
    <t xml:space="preserve">bis 50 l</t>
  </si>
  <si>
    <t xml:space="preserve">DGUV Regel 110-003, Abschn. 3.3.1</t>
  </si>
  <si>
    <t xml:space="preserve">„Fettbrandlöscher Klasse F mit Löschvermögen ≥ Fettmenge + 25 % Reserve (z. B. 20 l → 25 F). 50–100 l: zusätzlich benannte, geübte Person und ständige Beobachtung oder ortsfeste Löscheinrichtung; über 100 l: ortsfeste Löscheinrichtung.“</t>
  </si>
  <si>
    <t xml:space="preserve">BGN ASI 2.15 Nr. 4 (Brandbekämpfung); DGUV Regel 110-003 Abschn. 3.3.1</t>
  </si>
  <si>
    <t xml:space="preserve">Heutiger Text vermischt die Stufen; „geübte Person“ gilt erst ab 50 l (nachgelesen).</t>
  </si>
  <si>
    <t xml:space="preserve">B-037</t>
  </si>
  <si>
    <t xml:space="preserve">Hautbelastung durch Wasser und Reinigungsmittel (Feuchtarbeit), insbesondere in der Spülküche.</t>
  </si>
  <si>
    <t xml:space="preserve">Faktor: Physikalische, chemische und biologische Einwirkungen Maßnahmen: Wasserkontakt und Handschuhtragezeiten begrenzen. Hautschutzplan aufstellen (wann welche Handschuhe und Pflege). Baumwoll-Unterziehhandschuhe unter flüssigkeitsdichten Handschuhen; pH-hautneutrales Flüssigsyndet.</t>
  </si>
  <si>
    <t xml:space="preserve">DGUV Regel 110-003, Abschn. 3.2, 3.5</t>
  </si>
  <si>
    <t xml:space="preserve">Feuchtarbeits-Schwellen ergänzen (&gt; 2 Std. Angebot, ≥ 4 Std. Pflichtvorsorge).</t>
  </si>
  <si>
    <t xml:space="preserve">DGUV Regel 110-003; TRGS 401; ArbMedVV Anh. Teil 1</t>
  </si>
  <si>
    <t xml:space="preserve">B-038</t>
  </si>
  <si>
    <t xml:space="preserve">Verätzungen und Reizungen durch Reinigungsmittel sowie Dämpfe und Aerosole beim Reinigen.</t>
  </si>
  <si>
    <t xml:space="preserve">Faktor: Physikalische, chemische und biologische Einwirkungen Maßnahmen: Reiniger mit möglichst geringem Gefährdungspotenzial einsetzen. Ausreichende Belüftung; Sprühlanze statt Hochdruckreiniger. Nach Anleitung dosieren; Betriebsanweisung und Unterweisung zu Reinigungsmitteln. Schutzhandschuhe tragen.</t>
  </si>
  <si>
    <t xml:space="preserve">DGUV Regel 110-003, Abschn. 3.7</t>
  </si>
  <si>
    <t xml:space="preserve">DGUV Regel 110-003; GefStoffV § 7</t>
  </si>
  <si>
    <t xml:space="preserve">B-039</t>
  </si>
  <si>
    <t xml:space="preserve">Lärm in der Spülküche durch Geschirr und Geschirrwagen.</t>
  </si>
  <si>
    <t xml:space="preserve">Faktor: Physikalische, chemische und biologische Einwirkungen Maßnahmen: Lärmarme Geschirrwagen und Räder; raumakustische Maßnahmen. Arbeitsmedizinische Vorsorge anbieten, wenn 80 dB(A) erreicht werden. Gehörschutz ab einem Expositionspegel von 80 dB(A) bereitstellen.</t>
  </si>
  <si>
    <t xml:space="preserve">80 dB(A)</t>
  </si>
  <si>
    <t xml:space="preserve">DGUV Regel 110-003, Abschn. 3.5</t>
  </si>
  <si>
    <t xml:space="preserve">Ergänzen: „ab 85 dB(A) Gehörschutz-Tragepflicht, Lärmbereich kennzeichnen.“</t>
  </si>
  <si>
    <t xml:space="preserve">§§ 7, 8 LärmVibrationsArbSchV; ArbMedVV Anh. Teil 3</t>
  </si>
  <si>
    <t xml:space="preserve">Obere Auslösewerte fehlen.</t>
  </si>
  <si>
    <t xml:space="preserve">B-040</t>
  </si>
  <si>
    <t xml:space="preserve">Muskel-Skelett-Belastung durch Heben und Tragen schwerer Gebinde und Kochgeschirre.</t>
  </si>
  <si>
    <t xml:space="preserve">Faktor: Gestaltung von Arbeits- und Fertigungsverfahren, Arbeitsabläufen und Arbeitszeit und deren Zusammenwirken Maßnahmen: Transporthilfsmittel und Transportwagen nutzen; kleinere Gebinde einkaufen. Schwere Lasten zu zweit tragen; Belastung mit der Leitmerkmalmethode beurteilen. Sicherheitsschuhe beim Transport schwerer Gebinde.</t>
  </si>
  <si>
    <t xml:space="preserve">DGUV Regel 110-003, Abschn. 3.1, 3.3.2, 3.4</t>
  </si>
  <si>
    <t xml:space="preserve">Faktor: „Gestaltung von Arbeitsverfahren“ korrekt.</t>
  </si>
  <si>
    <t xml:space="preserve">LasthandhabV; DGUV Regel 110-003</t>
  </si>
  <si>
    <t xml:space="preserve">B-041</t>
  </si>
  <si>
    <t xml:space="preserve">Umkippen oder Herabfallen von Lagergut.</t>
  </si>
  <si>
    <t xml:space="preserve">Faktor: Gestaltung und Einrichtung der Arbeitsstätte und des Arbeitsplatzes Maßnahmen: Regale standsicher aufstellen. Schwere Lasten unten, leichtere oben lagern; Lagerbereiche eindeutig zuweisen.</t>
  </si>
  <si>
    <t xml:space="preserve">DGUV Regel 110-003; DIN EN 15635 (Regalinspektion)</t>
  </si>
  <si>
    <t xml:space="preserve">B-042</t>
  </si>
  <si>
    <t xml:space="preserve">Psychische Belastung durch Zeitdruck, Gästekontakt, Beschwerden und Aggression.</t>
  </si>
  <si>
    <t xml:space="preserve">Faktor: Psychische Belastungen bei der Arbeit Maßnahmen: Arbeitsabläufe, Aufgaben und Pausen eindeutig festlegen; Arbeitsplatzrotation. Schulung im Umgang mit Gästen, Beschwerden und Aggression; Übergriffe melden.</t>
  </si>
  <si>
    <t xml:space="preserve">DGUV Regel 110-003, Abschn. 3.4</t>
  </si>
  <si>
    <t xml:space="preserve">B-043</t>
  </si>
  <si>
    <t xml:space="preserve">Unerkannte Mängel und Verschleiß an Geräten und Schutzeinrichtungen.</t>
  </si>
  <si>
    <t xml:space="preserve">Faktor: Gestaltung, Auswahl und Einsatz von Arbeitsmitteln (Arbeitsstoffe, Maschinen, Geräte, Anlagen) und der Umgang damit Maßnahmen: Wartung nach Herstellerangaben; Instandhaltung nur durch fachkundiges Personal. Wiederkehrende Prüfungen über die Gefährdungsbeurteilung festlegen (befähigte Personen). Sicherheitseinrichtungen arbeitstäglich vor Arbeitsbeginn auf Funktion prüfen.</t>
  </si>
  <si>
    <t xml:space="preserve">DGUV Regel 110-003, Abschn. 3.8</t>
  </si>
  <si>
    <t xml:space="preserve">§§ 3 Abs. 6, 14 BetrSichV</t>
  </si>
  <si>
    <t xml:space="preserve">B-044</t>
  </si>
  <si>
    <t xml:space="preserve">Handwerk / Bau (inkl. Holz / Tischlerei)</t>
  </si>
  <si>
    <t xml:space="preserve">Absturz von Anlege- oder Stehleitern durch Standunsicherheit, Abrutschen oder schadhafte Leitern.</t>
  </si>
  <si>
    <t xml:space="preserve">Faktor: Gestaltung, Auswahl und Einsatz von Arbeitsmitteln (Arbeitsstoffe, Maschinen, Geräte, Anlagen) und der Umgang damit Maßnahmen: Leitern nur einsetzen, wenn kein sichereres Arbeitsmittel möglich ist. Anlegeleitern gegen Ausgleiten sichern (Anlegewinkel 65–75° bei Sprossen), 1 m überstehen lassen; Stehleitern nur mit Spreizsicherung, oberste Stufen nicht betreten. Leitern jährlich prüfen und im Prüfbuch dokumentieren; schadhafte Leitern aussondern.</t>
  </si>
  <si>
    <t xml:space="preserve">1 m</t>
  </si>
  <si>
    <t xml:space="preserve">BG BAU Bausteine B 131, B 132 (Stand 07/2021); BG ETEM S285 (Stand 11/23)</t>
  </si>
  <si>
    <t xml:space="preserve">„Leitern jährlich prüfen“ → „regelmäßig durch befähigte Person prüfen; Frist nach GB (i. d. R. jährlich)“. Stufenanlegeleitern 60–70°.</t>
  </si>
  <si>
    <t xml:space="preserve">DGUV Information 208-016; § 3 Abs. 6, § 14 BetrSichV</t>
  </si>
  <si>
    <t xml:space="preserve">Jährlich ist keine feste Rechtsfrist.</t>
  </si>
  <si>
    <t xml:space="preserve">B-045</t>
  </si>
  <si>
    <t xml:space="preserve">Absturz an Kanten, Öffnungen und Treppenläufen.</t>
  </si>
  <si>
    <t xml:space="preserve">Faktor: Gestaltung und Einrichtung der Arbeitsstätte und des Arbeitsplatzes Maßnahmen: Seitenschutz an Treppenläufen, Wandöffnungen und Verkehrswegen ab 1,00 m, an übrigen Arbeitsplätzen ab 2,00 m Absturzhöhe. Öffnungen umwehren oder fest abdecken.</t>
  </si>
  <si>
    <t xml:space="preserve">ab 1,00 m; ab 2,00 m</t>
  </si>
  <si>
    <t xml:space="preserve">BG BAU Baustein B 100</t>
  </si>
  <si>
    <t xml:space="preserve">Primärquelle ergänzen.</t>
  </si>
  <si>
    <t xml:space="preserve">ASR A2.1 Nr. 4.1; BG BAU</t>
  </si>
  <si>
    <t xml:space="preserve">B-046</t>
  </si>
  <si>
    <t xml:space="preserve">Gehörschäden durch Lärm von Maschinen und Werkzeugen.</t>
  </si>
  <si>
    <t xml:space="preserve">Faktor: Physikalische, chemische und biologische Einwirkungen Maßnahmen: Lärmarme Verfahren und lärmgeminderte Geräte einsetzen; Maschinen warten (scharfe Werkzeuge, intakte Gehäuse). Ab dem oberen Auslösewert (85 dB(A)) Lärmbereiche kennzeichnen und Lärmminderungsprogramm aufstellen; ab dem unteren Auslösewert (80 dB(A)) unterweisen und Vorsorge anbieten. Gehörschutz ab 80 dB(A) bereitstellen, ab 85 dB(A) tragen.</t>
  </si>
  <si>
    <t xml:space="preserve">85 dB(A); 80 dB(A); ab 80 dB(A); ab 85 dB(A)</t>
  </si>
  <si>
    <t xml:space="preserve">DGUV-Handlungshilfe „Lärm in der Bauwirtschaft“, Stand 02/2011 (Auslösewerte nach LärmVibrationsArbSchV)</t>
  </si>
  <si>
    <t xml:space="preserve">§§ 6–8 LärmVibrationsArbSchV; ArbMedVV Anh. Teil 3</t>
  </si>
  <si>
    <t xml:space="preserve">Werte bestätigt.</t>
  </si>
  <si>
    <t xml:space="preserve">B-047</t>
  </si>
  <si>
    <t xml:space="preserve">Einatmen von mineralischem, quarzhaltigem Staub beim Schneiden, Schleifen und Bohren.</t>
  </si>
  <si>
    <t xml:space="preserve">Faktor: Physikalische, chemische und biologische Einwirkungen Maßnahmen: Quarzärmere Materialien prüfen. Staubarme Verfahren und direkt abgesaugte Geräte mit Entstauber mindestens Klasse M; Nassbearbeitung. Mit Industriesaugern (Klasse M oder höher) reinigen statt Kehren oder Abblasen mit Druckluft.</t>
  </si>
  <si>
    <t xml:space="preserve">BG BAU Baustein C 317, Stand 07/2021</t>
  </si>
  <si>
    <t xml:space="preserve">Primärquelle ergänzen; Atemschutz als letzte Stufe.</t>
  </si>
  <si>
    <t xml:space="preserve">TRGS 559; BG BAU C 317</t>
  </si>
  <si>
    <t xml:space="preserve">B-048</t>
  </si>
  <si>
    <t xml:space="preserve">Gesundheitsschäden durch Gefahrstoffe (z. B. Lösemittel, Säuren, Laugen).</t>
  </si>
  <si>
    <t xml:space="preserve">Faktor: Physikalische, chemische und biologische Einwirkungen Maßnahmen: Prüfen, ob Stoffe durch weniger schädliche ersetzt werden können. Sicherheitsdatenblatt für jeden Gefahrstoff bereithalten; Betriebsanweisung erstellen. Beschäftigte tätigkeitsbezogen anhand der Betriebsanweisung unterweisen.</t>
  </si>
  <si>
    <t xml:space="preserve">BG ETEM</t>
  </si>
  <si>
    <t xml:space="preserve">GefStoffV §§ 6, 7, 14</t>
  </si>
  <si>
    <t xml:space="preserve">B-049</t>
  </si>
  <si>
    <t xml:space="preserve">Hautgefährdung durch Baustoffe, Reinigungsmittel und Feuchtigkeit.</t>
  </si>
  <si>
    <t xml:space="preserve">Faktor: Physikalische, chemische und biologische Einwirkungen Maßnahmen: Ersatzstoffe bzw. Verfahren mit weniger Hautkontakt prüfen. Chemikalienschutzhandschuhe mit passender Durchbruchszeit tragen; bei Schwitzen Baumwoll-Unterziehhandschuhe. Hautschutzplan: Hautschutzmittel vor Exposition, schonende Reinigung, Hautpflege in Pausen und nach der Arbeit.</t>
  </si>
  <si>
    <t xml:space="preserve">BG BAU</t>
  </si>
  <si>
    <t xml:space="preserve">Ergänzen: chromatarmer Zement.</t>
  </si>
  <si>
    <t xml:space="preserve">TRGS 401; BG BAU</t>
  </si>
  <si>
    <t xml:space="preserve">B-050</t>
  </si>
  <si>
    <t xml:space="preserve">UV-Strahlung bei Arbeiten im Freien.</t>
  </si>
  <si>
    <t xml:space="preserve">Faktor: Physikalische, chemische und biologische Einwirkungen Maßnahmen: Beschattung des Arbeitsplatzes. Arbeiten in der Mittagszeit vermeiden. Körperbedeckende Kleidung, Kopfschutz, Sonnenschutzbrille; Sonnenschutzmittel mindestens LSF 30, alle 2 Stunden erneuern.</t>
  </si>
  <si>
    <t xml:space="preserve">2 Stunden</t>
  </si>
  <si>
    <t xml:space="preserve">Ergänzen: „Angebotsvorsorge bei Tätigkeiten im Freien mit intensiver UV-Belastung von regelmäßig 1 Std. oder mehr je Tag (ArbMedVV Anhang Teil 3).“</t>
  </si>
  <si>
    <t xml:space="preserve">ArbMedVV Anhang Teil 3 Abs. 2; AMR 13.3</t>
  </si>
  <si>
    <t xml:space="preserve">Vorsorgeanlass fehlt.</t>
  </si>
  <si>
    <t xml:space="preserve">B-051</t>
  </si>
  <si>
    <t xml:space="preserve">Stromschlag durch beschädigte Leitungen und elektrische Betriebsmittel.</t>
  </si>
  <si>
    <t xml:space="preserve">Faktor: Gestaltung, Auswahl und Einsatz von Arbeitsmitteln (Arbeitsstoffe, Maschinen, Geräte, Anlagen) und der Umgang damit Maßnahmen: Auf Baustellen Steckdosen bis 32 A über Fehlerstrom-Schutzeinrichtung (RCD) mit höchstens 30 mA absichern. Nur regelmäßig geprüfte Betriebsmittel einsetzen; RCD-Funktion arbeitstäglich kontrollieren. Arbeiten an elektrischen Anlagen nur durch Elektrofachkräfte.</t>
  </si>
  <si>
    <t xml:space="preserve">höchstens 30 mA</t>
  </si>
  <si>
    <t xml:space="preserve">BG BAU Bausteine B 171, B 172; A 002</t>
  </si>
  <si>
    <t xml:space="preserve">DGUV Information 203-006; DGUV V3 DA Tab. 1A</t>
  </si>
  <si>
    <t xml:space="preserve">B-052</t>
  </si>
  <si>
    <t xml:space="preserve">Unfälle mit Kraftfahrzeugen durch technische Mängel oder ungesicherte Ladung.</t>
  </si>
  <si>
    <t xml:space="preserve">Faktor: Gestaltung, Auswahl und Einsatz von Arbeitsmitteln (Arbeitsstoffe, Maschinen, Geräte, Anlagen) und der Umgang damit Maßnahmen: Feste Trennwände, Einbauten und Zurrösen; Ladungssicherung mit Netzen oder Spanngurten. Regelmäßige Prüfung durch Fachbetrieb; Fahrerlaubnisse regelmäßig kontrollieren.</t>
  </si>
  <si>
    <t xml:space="preserve">„Regelmäßige Prüfung durch Fachbetrieb“ → „mindestens jährlich durch Sachkundigen (§ 57 DGUV V70)“.</t>
  </si>
  <si>
    <t xml:space="preserve">§ 57 DGUV Vorschrift 70</t>
  </si>
  <si>
    <t xml:space="preserve">B-053</t>
  </si>
  <si>
    <t xml:space="preserve">Schwere körperliche Belastung durch Heben, Tragen, Zwangshaltungen und Knien.</t>
  </si>
  <si>
    <t xml:space="preserve">Faktor: Gestaltung von Arbeits- und Fertigungsverfahren, Arbeitsabläufen und Arbeitszeit und deren Zusammenwirken Maßnahmen: Technische Hilfsmittel für den Materialtransport einsetzen (z. B. Schubkarre, Transportzange, Saugheber); höhenverstellbare Geräte nutzen. Lastgewichte und Gebindegrößen reduzieren; Transportwege kurz halten; Haltungswechsel und Kurzpausen einplanen. In rückengerechter Hebe- und Tragetechnik unterweisen; Knieschutz verwenden.</t>
  </si>
  <si>
    <t xml:space="preserve">BG BAU Baustein D 506, Stand 07/2021</t>
  </si>
  <si>
    <t xml:space="preserve">BG BAU D 506; LasthandhabV</t>
  </si>
  <si>
    <t xml:space="preserve">B-054</t>
  </si>
  <si>
    <t xml:space="preserve">Brand- und Explosionsgefahr durch Druckgasflaschen (z. B. Flüssiggas).</t>
  </si>
  <si>
    <t xml:space="preserve">Faktor: Sonstige Gefährdungen Maßnahmen: Flaschen gegen Umfallen sichern, Ventile schützen; Lagerung in Kellern, Fluren und Treppenräumen unzulässig. Nur mit geschlossenen Ventilen und Schutzkappen transportieren, auf Fahrzeugen verzurren; Feuerlöscher mitführen.</t>
  </si>
  <si>
    <t xml:space="preserve">BG BAU Bausteine A 063, A 064, A 065</t>
  </si>
  <si>
    <t xml:space="preserve">TRGS 510; DGUV Vorschrift 79</t>
  </si>
  <si>
    <t xml:space="preserve">B-055</t>
  </si>
  <si>
    <t xml:space="preserve">Fehlende oder defekte persönliche Schutzausrüstung bzw. fehlende Kenntnis über deren Benutzung.</t>
  </si>
  <si>
    <t xml:space="preserve">Faktor: Unzureichende Qualifikation und Unterweisung der Beschäftigten Maßnahmen: Bedarfsgerechte PSA bereitstellen (z. B. Helm, Sicherheitsschuhe, Schutzbrille, Gehörschutz, Handschuhe). Beschäftigte im Umgang mit der PSA unterweisen.</t>
  </si>
  <si>
    <t xml:space="preserve">PSA-BV</t>
  </si>
  <si>
    <t xml:space="preserve">B-056</t>
  </si>
  <si>
    <t xml:space="preserve">Arbeitsbedingte psychische Belastungen (z. B. Über-/Unterforderung, Stress, soziale Konflikte).</t>
  </si>
  <si>
    <t xml:space="preserve">Faktor: Psychische Belastungen bei der Arbeit Maßnahmen: Problembereiche unter Einbindung der Beschäftigten ermitteln (z. B. Befragung). Lösungen erarbeiten und umsetzen.</t>
  </si>
  <si>
    <t xml:space="preserve">§ 5 Abs. 3 Nr. 6 ArbSchG; GDA</t>
  </si>
  <si>
    <t xml:space="preserve">B-057</t>
  </si>
  <si>
    <t xml:space="preserve">Büro / Laden</t>
  </si>
  <si>
    <t xml:space="preserve">Stolpern, Ausrutschen und Stürzen auf Böden und Verkehrswegen.</t>
  </si>
  <si>
    <t xml:space="preserve">Faktor: Gestaltung und Einrichtung der Arbeitsstätte und des Arbeitsplatzes Maßnahmen: Ebene, trittsichere Böden; Stolperstellen und Schwellen beseitigen; Sauberlaufzonen. Wege frei und sauber halten; rutschhemmende Reinigungsmittel; Schnee und Eis im Außenbereich entfernen. Geeignetes Schuhwerk tragen.</t>
  </si>
  <si>
    <t xml:space="preserve">BGHW</t>
  </si>
  <si>
    <t xml:space="preserve">ASR A1.5; BGHW</t>
  </si>
  <si>
    <t xml:space="preserve">B-058</t>
  </si>
  <si>
    <t xml:space="preserve">Ungünstiges Raumklima (Kälte, Zugluft, Hitze).</t>
  </si>
  <si>
    <t xml:space="preserve">Faktor: Gestaltung und Einrichtung der Arbeitsstätte und des Arbeitsplatzes Maßnahmen: Zugluft vermeiden (Türschleier, Windfang); Sonnenschutz außen. Büro: Mindesttemperatur 20 °C; bei mehr als 26 °C Getränke und Trinkpausen anbieten.</t>
  </si>
  <si>
    <t xml:space="preserve">20 °C; 26 °C</t>
  </si>
  <si>
    <t xml:space="preserve">„Bei leichter, sitzender Tätigkeit mind. 20 °C; ab 26 °C sollen, ab 30 °C müssen Maßnahmen nach ASR A3.5 Tab. 4 ergriffen werden (z. B. Getränke, Lockerung Kleiderordnung); über 35 °C ohne Maßnahmen kein Arbeitsraum.“</t>
  </si>
  <si>
    <t xml:space="preserve">ASR A3.5 Nr. 4.2 Tab. 1, Nr. 4.4</t>
  </si>
  <si>
    <t xml:space="preserve">Stufen 26/30/35 °C fehlen.</t>
  </si>
  <si>
    <t xml:space="preserve">B-059</t>
  </si>
  <si>
    <t xml:space="preserve">Unzureichende oder blendende Beleuchtung.</t>
  </si>
  <si>
    <t xml:space="preserve">Faktor: Gestaltung und Einrichtung der Arbeitsstätte und des Arbeitsplatzes Maßnahmen: Nennbeleuchtungsstärken einhalten (z. B. Verkaufsraum 300 Lux, Büro 500 Lux); flimmerfreie Leuchten. Blendung durch Sonne mit Jalousien oder Rollos vermeiden; Leuchtenabdeckungen reinigen.</t>
  </si>
  <si>
    <t xml:space="preserve">300 Lux; 500 Lux</t>
  </si>
  <si>
    <t xml:space="preserve">ASR A3.4 Anhang 3 Nr. 24.1 (Verkauf 300 lx), Nr. 4.2 (Büro 500 lx), Nr. 24.2 (Kasse 500 lx)</t>
  </si>
  <si>
    <t xml:space="preserve">Werte nachgelesen.</t>
  </si>
  <si>
    <t xml:space="preserve">B-060</t>
  </si>
  <si>
    <t xml:space="preserve">Einseitige Körperhaltung bei Bildschirmarbeit.</t>
  </si>
  <si>
    <t xml:space="preserve">Faktor: Gestaltung von Arbeits- und Fertigungsverfahren, Arbeitsabläufen und Arbeitszeit und deren Zusammenwirken Maßnahmen: Höhenverstellbarer Schreibtisch (mind. 80 × 160 cm) mit ausreichender Beinfreiheit und ergonomischer Stuhl. Regelmäßige Unterbrechung des Sitzens ermöglichen.</t>
  </si>
  <si>
    <t xml:space="preserve">160 cm</t>
  </si>
  <si>
    <t xml:space="preserve">„Arbeitsfläche mind. 160 × 80 cm (bei einem Bildschirm und wenig Papier 120 × 80 cm); Höhenverstellbarkeit empfohlen.“</t>
  </si>
  <si>
    <t xml:space="preserve">ASR A6 Nr. 6.3.10; DGUV Information 215-410</t>
  </si>
  <si>
    <t xml:space="preserve">Höhenverstellbarkeit ist keine Pflicht; Primärquelle ASR A6.</t>
  </si>
  <si>
    <t xml:space="preserve">B-061</t>
  </si>
  <si>
    <t xml:space="preserve">Visuelle Belastung bei Bildschirmarbeit.</t>
  </si>
  <si>
    <t xml:space="preserve">Faktor: Gestaltung, Auswahl und Einsatz von Arbeitsmitteln (Arbeitsstoffe, Maschinen, Geräte, Anlagen) und der Umgang damit Maßnahmen: Ausreichend großer, einstellbarer, reflexionsfreier Bildschirm; Aufstellung 90° zum Lichteinfall. Arbeitsmedizinische Vorsorge (Augen/Sehvermögen) anbieten.</t>
  </si>
  <si>
    <t xml:space="preserve">ASR A6; ArbMedVV Anhang Teil 4 Abs. 2 Nr. 1</t>
  </si>
  <si>
    <t xml:space="preserve">B-062</t>
  </si>
  <si>
    <t xml:space="preserve">Absturz von Leitern und Tritten.</t>
  </si>
  <si>
    <t xml:space="preserve">Faktor: Gestaltung, Auswahl und Einsatz von Arbeitsmitteln (Arbeitsstoffe, Maschinen, Geräte, Anlagen) und der Umgang damit Maßnahmen: Ausreichend geeignete Leitern und Tritte bereitstellen; keine Kisten oder Stühle als Ersatz. Standsicher aufstellen, nicht übersteigen oder seitlich hinauslehnen; vor Gebrauch auf Mängel prüfen.</t>
  </si>
  <si>
    <t xml:space="preserve">DGUV Information 208-016</t>
  </si>
  <si>
    <t xml:space="preserve">B-063</t>
  </si>
  <si>
    <t xml:space="preserve">Schnittverletzungen beim Öffnen von Verpackungen mit Messern und Cuttern.</t>
  </si>
  <si>
    <t xml:space="preserve">Faktor: Gestaltung, Auswahl und Einsatz von Arbeitsmitteln (Arbeitsstoffe, Maschinen, Geräte, Anlagen) und der Umgang damit Maßnahmen: Sicherheitsmesser mit verdeckter oder selbsttätig zurückgezogener Klinge verwenden. Stumpfe Klingen wechseln, schadhafte Messer aussondern.</t>
  </si>
  <si>
    <t xml:space="preserve">B-064</t>
  </si>
  <si>
    <t xml:space="preserve">Elektrische Gefährdung durch beschädigte Geräte und Leitungen.</t>
  </si>
  <si>
    <t xml:space="preserve">Faktor: Gestaltung, Auswahl und Einsatz von Arbeitsmitteln (Arbeitsstoffe, Maschinen, Geräte, Anlagen) und der Umgang damit Maßnahmen: Leitungen nicht durch Tür- oder Fensteröffnungen führen; keine hintereinander gesteckten Mehrfachsteckdosen. Geräte und Leitungen vor Gebrauch auf Schäden prüfen; schadhafte Geräte sofort aus dem Verkehr ziehen, Reparatur nur durch Elektrofachkraft. Elektrische Geräte regelmäßig prüfen lassen.</t>
  </si>
  <si>
    <t xml:space="preserve">DGUV V3; BGHW</t>
  </si>
  <si>
    <t xml:space="preserve">B-065</t>
  </si>
  <si>
    <t xml:space="preserve">Umstürzende Regale und herabfallendes Lagergut.</t>
  </si>
  <si>
    <t xml:space="preserve">Faktor: Gestaltung, Auswahl und Einsatz von Arbeitsmitteln (Arbeitsstoffe, Maschinen, Geräte, Anlagen) und der Umgang damit Maßnahmen: Regale standsicher aufstellen; Anfahrschutz anbringen. Zulässige Fach- und Feldlasten einhalten; Regale regelmäßig prüfen, Mängel sofort melden.</t>
  </si>
  <si>
    <t xml:space="preserve">Ergänzen: jährliche Regalinspektion durch befähigte Person.</t>
  </si>
  <si>
    <t xml:space="preserve">DIN EN 15635; § 14 BetrSichV</t>
  </si>
  <si>
    <t xml:space="preserve">B-066</t>
  </si>
  <si>
    <t xml:space="preserve">Belastung durch Heben, Tragen, Ziehen und Schieben von Waren.</t>
  </si>
  <si>
    <t xml:space="preserve">Faktor: Gestaltung von Arbeits- und Fertigungsverfahren, Arbeitsabläufen und Arbeitszeit und deren Zusammenwirken Maßnahmen: Hebe- und Transporthilfen bereitstellen. Kleinere Gebinde bestellen; schwere Gebinde unten lagern; schwere Lasten zu zweit tragen oder aufteilen; Tätigkeiten wechseln.</t>
  </si>
  <si>
    <t xml:space="preserve">LasthandhabV</t>
  </si>
  <si>
    <t xml:space="preserve">B-067</t>
  </si>
  <si>
    <t xml:space="preserve">Fehlbelastung am Kassen- oder Steharbeitsplatz.</t>
  </si>
  <si>
    <t xml:space="preserve">Faktor: Gestaltung von Arbeits- und Fertigungsverfahren, Arbeitsabläufen und Arbeitszeit und deren Zusammenwirken Maßnahmen: Arbeitsfläche auf Ellbogenhöhe; Kasse ergonomisch gestalten; ausreichender Beinfreiraum; Stehhilfe an Steharbeitsplätzen. Stuhl und Fußstütze personenbezogen einstellen.</t>
  </si>
  <si>
    <t xml:space="preserve">B-068</t>
  </si>
  <si>
    <t xml:space="preserve">Überfallgefahr beim Umgang mit Bargeld.</t>
  </si>
  <si>
    <t xml:space="preserve">Faktor: Psychische Belastungen bei der Arbeit Maßnahmen: Tresor oder Zeitschloss; Alarmierungsmöglichkeit sicherstellen. Bargeld regelmäßig abschöpfen, Zählen nicht einsehbar; bargeldloses Bezahlen fördern; Geldtransport unauffällig und zu zweit. Notfallplan erstellen; Betriebsanweisung zum Verhalten bei Überfällen.</t>
  </si>
  <si>
    <t xml:space="preserve">B-069</t>
  </si>
  <si>
    <t xml:space="preserve">Psychische Belastungen durch Arbeitsinhalt, Arbeitsorganisation oder soziale Beziehungen.</t>
  </si>
  <si>
    <t xml:space="preserve">Faktor: Psychische Belastungen bei der Arbeit Maßnahmen: Belastungen mit anerkannten Verfahren erfassen (Beobachtung, Befragung, Workshop) und Beschäftigte einbinden. Maßnahmen ableiten, umsetzen und ihre Wirksamkeit dokumentieren.</t>
  </si>
  <si>
    <t xml:space="preserve">GDA-Leitlinie; BGHW</t>
  </si>
  <si>
    <t xml:space="preserve">B-070</t>
  </si>
  <si>
    <t xml:space="preserve">Brandentstehung und unzureichende Möglichkeiten zur Brandbekämpfung und Flucht.</t>
  </si>
  <si>
    <t xml:space="preserve">Faktor: Sonstige Gefährdungen Maßnahmen: Geeignete Feuerlöscher in ausreichender Zahl (Prüfung alle zwei Jahre); Standorte kennzeichnen und freihalten. Nicht benötigte Geräte abschalten; Sicherheitsabstand zu brennbarem Material; Brandschutztüren nicht festkeilen. Ausreichend Beschäftigte im Umgang mit Feuerlöscheinrichtungen unterweisen und üben lassen.</t>
  </si>
  <si>
    <t xml:space="preserve">BGHW A 131 (Stand 06/2022); § 22 Abs. 2 DGUV Vorschrift 1</t>
  </si>
  <si>
    <t xml:space="preserve">ASR A2.2; BGHW A 131</t>
  </si>
  <si>
    <t xml:space="preserve">B-071</t>
  </si>
  <si>
    <t xml:space="preserve">Unzureichende Erste Hilfe bei Unfällen.</t>
  </si>
  <si>
    <t xml:space="preserve">Faktor: Sonstige Gefährdungen Maßnahmen: Verbandmaterial bereitstellen und regelmäßig prüfen. Ersthelfer benennen und ausbilden (bei 2 bis 20 anwesenden Versicherten mindestens ein Ersthelfer; darüber in Verwaltungs- und Handelsbetrieben 5 %), alle zwei Jahre fortbilden. Jede Erste-Hilfe-Leistung dokumentieren (z. B. Verbandbuch) und fünf Jahre verfügbar halten.</t>
  </si>
  <si>
    <t xml:space="preserve">5 %</t>
  </si>
  <si>
    <t xml:space="preserve">§§ 24 Abs. 6, 26 Abs. 1 DGUV Vorschrift 1</t>
  </si>
  <si>
    <t xml:space="preserve">Quote ergänzen: „über 20: Verwaltung/Handel 5 %, sonstige Betriebe 10 %“; Fortbildung „in der Regel alle zwei Jahre“.</t>
  </si>
  <si>
    <t xml:space="preserve">§§ 24 Abs. 6, 26 Abs. 1, 3 DGUV Vorschrift 1</t>
  </si>
  <si>
    <t xml:space="preserve">Baustein steht nur bei Büro/Laden, passt aber für alle.</t>
  </si>
  <si>
    <t xml:space="preserve">B-072</t>
  </si>
  <si>
    <t xml:space="preserve">Elektrischer Schlag und Störlichtbogen bei Arbeiten an oder in der Nähe elektrischer Anlagen.</t>
  </si>
  <si>
    <t xml:space="preserve">Faktor: Gestaltung, Auswahl und Einsatz von Arbeitsmitteln (Arbeitsstoffe, Maschinen, Geräte, Anlagen) und der Umgang damit Risiko (vorbelegt): hoch Maßnahmen: Arbeiten nur im spannungsfreien Zustand nach den fünf Sicherheitsregeln (freischalten, gegen Wiedereinschalten sichern, Spannungsfreiheit feststellen, erden und kurzschließen, benachbarte unter Spannung stehende Teile abdecken oder abschranken). Arbeiten nur durch Elektrofachkräfte bzw. elektrotechnisch unterwiesene Personen unter deren Leitung und Aufsicht. Geeignete isolierte Werkzeuge, Spannungsprüfer und persönliche Schutzausrüstung (z. B. Gesichtsschutz gegen Störlichtbogen) bereitstellen und prüfen.</t>
  </si>
  <si>
    <t xml:space="preserve">DIN VDE 0105-100; DGUV Vorschrift 3</t>
  </si>
  <si>
    <t xml:space="preserve">DIN VDE 0105-100; DGUV V3 § 6</t>
  </si>
  <si>
    <t xml:space="preserve">B-073</t>
  </si>
  <si>
    <t xml:space="preserve">Jugendliche Beschäftigte: Gefährdungen durch fehlende Erfahrung, Arbeitszeit und verbotene Arbeiten.</t>
  </si>
  <si>
    <t xml:space="preserve">Faktor: Unzureichende Qualifikation und Unterweisung der Beschäftigten Gefährdung: Jugendliche Beschäftigte (unter 18 Jahren): Gefährdungen durch fehlende Erfahrung, Arbeitszeit und Tätigkeiten, die für Jugendliche verboten oder beschränkt sind. Maßnahmen: Vor Beginn der Beschäftigung und bei wesentlicher Änderung der Arbeitsbedingungen die Gefährdungen für Jugendliche beurteilen (§ 28a JArbSchG). Gefährliche Arbeiten nach § 22 JArbSchG nur, soweit zur Ausbildung erforderlich und unter Aufsicht einer fachkundigen Person. Vor Beginn und danach mindestens halbjährlich unterweisen (§ 29 JArbSchG); Arbeitszeit- und Pausenregeln (§§ 8–14 JArbSchG) einhalten.</t>
  </si>
  <si>
    <t xml:space="preserve">unter 18 Jahren</t>
  </si>
  <si>
    <t xml:space="preserve">§§ 22, 28a, 29 JArbSchG</t>
  </si>
  <si>
    <t xml:space="preserve">Ergänzen: „Werden Jugendliche in einem Betrieb beschäftigt, für den Fachkraft/Betriebsarzt verpflichtet ist, muss deren Betreuung sichergestellt sein (§ 22 Abs. 3 JArbSchG).“ Bei § 22-Ausnahme Wortlaut Abs. 2 übernehmen (Ausbildungsziel, Aufsicht durch Fachkundigen).</t>
  </si>
  <si>
    <t xml:space="preserve">Inhalt richtig; Betreuungshinweis fehlt.</t>
  </si>
  <si>
    <t xml:space="preserve">B-074</t>
  </si>
  <si>
    <t xml:space="preserve">Gebäudereinigung</t>
  </si>
  <si>
    <t xml:space="preserve">Alleinarbeit: Reinigung allein im Objekt, oft außerhalb der üblichen Arbeitszeit.</t>
  </si>
  <si>
    <t xml:space="preserve">Faktor: Gestaltung von Arbeits- und Fertigungsverfahren, Arbeitsabläufen und Arbeitszeit und deren Zusammenwirken Maßnahmen: Erreichbarkeit regeln (z. B. Mobiltelefon, vereinbarte Meldezeiten). Erste Hilfe und Notruf für allein arbeitende Beschäftigte organisieren.</t>
  </si>
  <si>
    <t xml:space="preserve">Nutzertest Gebäudereinigung – fachlich zu prüfen</t>
  </si>
  <si>
    <t xml:space="preserve">fachlich zu prüfen; Quelle: Nutzertest, keine Fachquelle</t>
  </si>
  <si>
    <t xml:space="preserve">Quelle einsetzen.</t>
  </si>
  <si>
    <t xml:space="preserve">DGUV Regel 112-139 (Personen-Notsignal-Anlagen); BG BAU</t>
  </si>
  <si>
    <t xml:space="preserve">B-075</t>
  </si>
  <si>
    <t xml:space="preserve">Arbeit im fremden Betrieb: Gefahren im Objekt des Auftraggebers.</t>
  </si>
  <si>
    <t xml:space="preserve">Faktor: Gestaltung von Arbeits- und Fertigungsverfahren, Arbeitsabläufen und Arbeitszeit und deren Zusammenwirken Gefährdung: Arbeit im fremden Betrieb: Gefahren im Objekt des Auftraggebers (z. B. Maschinen, Gefahrstoffe, Zutrittsbereiche). Maßnahmen: Mit dem Auftraggeber die Gefahren im Objekt und die Schutzmaßnahmen abstimmen (§ 8 ArbSchG). Beschäftigte über die Gefahren im jeweiligen Objekt unterweisen.</t>
  </si>
  <si>
    <t xml:space="preserve">§ 8 ArbSchG – fachlich zu prüfen</t>
  </si>
  <si>
    <t xml:space="preserve">fachlich zu prüfen</t>
  </si>
  <si>
    <t xml:space="preserve">§ 8 ArbSchG; § 6 DGUV V1</t>
  </si>
  <si>
    <t xml:space="preserve">B-076</t>
  </si>
  <si>
    <t xml:space="preserve">Mischen von Reinigungsmitteln: gefährliche Reaktionen, Haut- und Atemwegsreizungen.</t>
  </si>
  <si>
    <t xml:space="preserve">Faktor: Physikalische, chemische und biologische Einwirkungen Maßnahmen: Reinigungsmittel nicht mischen; nur in Originalbehältern oder gekennzeichneten Gefäßen aufbewahren. Dosierhilfen verwenden; Betriebsanweisung und Unterweisung zu den eingesetzten Reinigungsmitteln.</t>
  </si>
  <si>
    <t xml:space="preserve">DGUV Regel 101-019 (Reinigungs- und Pflegemittel); TRGS 510</t>
  </si>
  <si>
    <t xml:space="preserve">B-077</t>
  </si>
  <si>
    <t xml:space="preserve">Stich- und Infektionsgefahr durch Abfall in Arztpraxen.</t>
  </si>
  <si>
    <t xml:space="preserve">Faktor: Physikalische, chemische und biologische Einwirkungen Gefährdung: Stich- und Infektionsgefahr durch Abfall in Arztpraxen (z. B. Kanülen im Müll). Maßnahmen: Abfälle nicht mit der Hand nachdrücken oder umfüllen; mit der Praxis stichfeste Abfallbehälter vereinbaren. Geeignete Schutzhandschuhe bereitstellen; Vorgehen nach einer Stich- oder Schnittverletzung festlegen.</t>
  </si>
  <si>
    <t xml:space="preserve">TRBA 250; § 11 BioStoffV</t>
  </si>
  <si>
    <t xml:space="preserve">B-078</t>
  </si>
  <si>
    <t xml:space="preserve">Wege und Fahrten zwischen den Objekten.</t>
  </si>
  <si>
    <t xml:space="preserve">Faktor: Gestaltung von Arbeits- und Fertigungsverfahren, Arbeitsabläufen und Arbeitszeit und deren Zusammenwirken Gefährdung: Wege und Fahrten zwischen den Objekten: Unfälle im Straßenverkehr, Zeitdruck. Maßnahmen: Touren mit ausreichend Zeit planen. Firmenfahrzeuge regelmäßig prüfen lassen; Geräte und Mittel im Fahrzeug sichern.</t>
  </si>
  <si>
    <t xml:space="preserve">§ 57 DGUV V70; § 22 StVO</t>
  </si>
  <si>
    <t xml:space="preserve">B-079</t>
  </si>
  <si>
    <t xml:space="preserve">Hartholzstaub (krebserzeugend) beim Sägen, Fräsen und Schleifen.</t>
  </si>
  <si>
    <t xml:space="preserve">Faktor: Physikalische, chemische und biologische Einwirkungen Risiko (vorbelegt): hoch Maßnahmen: Staub an der Entstehungsstelle absaugen; Maschinen an eine geeignete Absaugung anschließen. Nicht trocken kehren oder mit Druckluft abblasen, sondern absaugen. Arbeitsmedizinische Vorsorge prüfen.</t>
  </si>
  <si>
    <t xml:space="preserve">TRGS 553 – fachlich zu prüfen</t>
  </si>
  <si>
    <t xml:space="preserve">Ergänzen: AGW Holzstaub 2 mg/m³; Hartholzstaub ist krebserzeugend → Expositionsverzeichnis (§ 10a GefStoffV n. F.); Vorsorge: Angebotsvorsorge, wenn Exposition nicht ausgeschlossen (ArbMedVV Anh. Teil 1 Abs. 2 Nr. 1), Pflichtvorsorge nach Abs. 1 Nr. 1.</t>
  </si>
  <si>
    <t xml:space="preserve">TRGS 553; ArbMedVV Anhang Teil 1 Abs. 1 Nr. 1 („Hartholzstaub“); DGUV Regel 109-606</t>
  </si>
  <si>
    <t xml:space="preserve">Hartholzstaub steht in der Liste der ArbMedVV (nachgelesen) – K-002 erledigt.</t>
  </si>
  <si>
    <t xml:space="preserve">B-080</t>
  </si>
  <si>
    <t xml:space="preserve">Brand- und Explosionsgefahr durch Holzstaub und Absaugung.</t>
  </si>
  <si>
    <t xml:space="preserve">Faktor: Physikalische, chemische und biologische Einwirkungen Risiko (vorbelegt): hoch Gefährdung: Brand- und Explosionsgefahr durch Holzstaub, Späne und die Absauganlage. Maßnahmen: Absaugung und Späneabfuhr regelmäßig warten und reinigen; Staubablagerungen vermeiden. Zündquellen fernhalten; geeignete Feuerlöscher bereithalten.</t>
  </si>
  <si>
    <t xml:space="preserve">Nutzertest Tischlerei – fachlich zu prüfen</t>
  </si>
  <si>
    <t xml:space="preserve">Faktor auf „Sonstige Gefährdungen (Brand/Explosion)“ umstellen.</t>
  </si>
  <si>
    <t xml:space="preserve">TRGS 553; DGUV Regel 109-606</t>
  </si>
  <si>
    <t xml:space="preserve">Fachquelle statt Nutzertest.</t>
  </si>
  <si>
    <t xml:space="preserve">B-081</t>
  </si>
  <si>
    <t xml:space="preserve">Holzbearbeitungsmaschinen: Rückschlag und Schnittverletzungen.</t>
  </si>
  <si>
    <t xml:space="preserve">Faktor: Gestaltung, Auswahl und Einsatz von Arbeitsmitteln (Arbeitsstoffe, Maschinen, Geräte, Anlagen) und der Umgang damit Risiko (vorbelegt): hoch Gefährdung: Holzbearbeitungsmaschinen (z. B. Kreissäge, Fräse, Hobel): Rückschlag des Werkstücks und Schnittverletzungen. Maßnahmen: Schutzeinrichtungen verwenden und nicht entfernen; Schiebestock bzw. Zuführhilfen benutzen. Maschinen nur durch unterwiesene Beschäftigte bedienen lassen. Maschinen und Schutzeinrichtungen regelmäßig prüfen (§ 14 BetrSichV).</t>
  </si>
  <si>
    <t xml:space="preserve">§ 14 BetrSichV – fachlich zu prüfen</t>
  </si>
  <si>
    <t xml:space="preserve">DGUV Regel 109-606; §§ 12, 14 BetrSichV</t>
  </si>
  <si>
    <t xml:space="preserve">B-082</t>
  </si>
  <si>
    <t xml:space="preserve">Spritzlackieren: Lösemitteldämpfe, Farbnebel und Brandgefahr.</t>
  </si>
  <si>
    <t xml:space="preserve">Faktor: Physikalische, chemische und biologische Einwirkungen Maßnahmen: Nur mit wirksamer Absaugung bzw. Lüftung lackieren. Gefahrstoffverzeichnis und Betriebsanweisung für Lacke und Verdünner; geeigneten Atemschutz bereitstellen. Zündquellen fernhalten.</t>
  </si>
  <si>
    <t xml:space="preserve">Fachquelle einsetzen.</t>
  </si>
  <si>
    <t xml:space="preserve">DGUV Regel 109-606; TRGS 500/510</t>
  </si>
  <si>
    <t xml:space="preserve">B-083</t>
  </si>
  <si>
    <t xml:space="preserve">Lärm an Holzbearbeitungsmaschinen.</t>
  </si>
  <si>
    <t xml:space="preserve">Faktor: Physikalische, chemische und biologische Einwirkungen Maßnahmen: Lärmarme Maschinen und Werkzeuge auswählen; Lärmbereiche kennzeichnen. Gehörschutz bereitstellen und tragen lassen (LärmVibrationsArbSchV). Arbeitsmedizinische Vorsorge anbieten ab 80 dB(A), Pflichtvorsorge ab 85 dB(A) (ArbMedVV Anhang Teil 3).</t>
  </si>
  <si>
    <t xml:space="preserve">ab 80 dB(A); ab 85 dB(A)</t>
  </si>
  <si>
    <t xml:space="preserve">LärmVibrationsArbSchV; ArbMedVV – fachlich zu prüfen</t>
  </si>
  <si>
    <t xml:space="preserve">LärmVibrationsArbSchV; ArbMedVV Anh. Teil 3</t>
  </si>
  <si>
    <t xml:space="preserve">B-084</t>
  </si>
  <si>
    <t xml:space="preserve">Kfz-Werkstatt</t>
  </si>
  <si>
    <t xml:space="preserve">Hebebühne und Arbeitsgrube: Quetschen durch absinkende oder abrutschende Fahrzeuge, Absturz in die Grube.</t>
  </si>
  <si>
    <t xml:space="preserve">Faktor: Gestaltung, Auswahl und Einsatz von Arbeitsmitteln (Arbeitsstoffe, Maschinen, Geräte, Anlagen) und der Umgang damit Risiko (vorbelegt): hoch Maßnahmen: Fahrzeuge nur an den vom Hersteller vorgesehenen Aufnahmepunkten anheben; Hebebühne nur durch unterwiesene Beschäftigte bedienen. Hebebühne mindestens jährlich durch eine befähigte Person prüfen lassen (§ 14 BetrSichV, DGUV Grundsatz 308-002). Arbeitsgrube bei Nichtbenutzung abdecken bzw. absichern; Grubenrand kennzeichnen.</t>
  </si>
  <si>
    <t xml:space="preserve">§ 14 BetrSichV; DGUV Grundsatz 308-002 – fachlich zu prüfen</t>
  </si>
  <si>
    <t xml:space="preserve">DGUV Regel 109-009 (Fahrzeug-Instandhaltung); DGUV Regel 100-500 Kap. 2.10; DGUV Grundsatz 308-002</t>
  </si>
  <si>
    <t xml:space="preserve">Jährliche Prüfung Hebebühne fachlich üblich.</t>
  </si>
  <si>
    <t xml:space="preserve">B-085</t>
  </si>
  <si>
    <t xml:space="preserve">Abgase von Dieselmotoren beim Motorlauf in der Halle.</t>
  </si>
  <si>
    <t xml:space="preserve">Faktor: Physikalische, chemische und biologische Einwirkungen Maßnahmen: Motoren in der Halle nur mit Abgasabsaugung am Auspuff laufen lassen; Motorlaufzeiten kurz halten. Halle ausreichend lüften; Gefährdung nach TRGS 554 beurteilen.</t>
  </si>
  <si>
    <t xml:space="preserve">TRGS 554</t>
  </si>
  <si>
    <t xml:space="preserve">Ergänzen: DME-Exposition = krebserzeugende Tätigkeit → Expositionsverzeichnis.</t>
  </si>
  <si>
    <t xml:space="preserve">TRGS 554; § 10a GefStoffV n. F.</t>
  </si>
  <si>
    <t xml:space="preserve">B-086</t>
  </si>
  <si>
    <t xml:space="preserve">Hochvolt-Fahrzeuge (Elektro- und Hybridantrieb): elektrischer Schlag und Störlichtbogen.</t>
  </si>
  <si>
    <t xml:space="preserve">Faktor: Gestaltung, Auswahl und Einsatz von Arbeitsmitteln (Arbeitsstoffe, Maschinen, Geräte, Anlagen) und der Umgang damit Risiko (vorbelegt): hoch Maßnahmen: Arbeiten am Hochvolt-System nur durch dafür qualifizierte Beschäftigte (Qualifizierungsstufen nach DGUV Information 209-093). Spannungsfreiheit nach Herstellervorgabe herstellen, sichern und feststellen; Fahrzeug kennzeichnen und Arbeitsbereich absperren. Isolierte Werkzeuge und geeignete Schutzausrüstung bereitstellen und prüfen.</t>
  </si>
  <si>
    <t xml:space="preserve">DGUV Information 209-093</t>
  </si>
  <si>
    <t xml:space="preserve">B-087</t>
  </si>
  <si>
    <t xml:space="preserve">Reifenmontage und -befüllung: Platzen des Reifens, Quetschen an der Montiermaschine, schwere Räder.</t>
  </si>
  <si>
    <t xml:space="preserve">Faktor: Gestaltung, Auswahl und Einsatz von Arbeitsmitteln (Arbeitsstoffe, Maschinen, Geräte, Anlagen) und der Umgang damit Maßnahmen: Reifen nur mit Füllgerät mit Druckbegrenzung befüllen, große Reifen im Füllkäfig. Montiermaschine nur unterwiesen bedienen; nicht in den Bereich von Montierkopf und Felge greifen. Radheber bzw. Hebehilfen für schwere Räder bereitstellen.</t>
  </si>
  <si>
    <t xml:space="preserve">Nutzertest Kfz-Werkstatt – fachlich zu prüfen</t>
  </si>
  <si>
    <t xml:space="preserve">DGUV Regel 109-009</t>
  </si>
  <si>
    <t xml:space="preserve">B-088</t>
  </si>
  <si>
    <t xml:space="preserve">Bremsenreiniger und Lösemittel: Dämpfe, Hautschäden, Brandgefahr.</t>
  </si>
  <si>
    <t xml:space="preserve">Faktor: Physikalische, chemische und biologische Einwirkungen Maßnahmen: Ersatz prüfen (z. B. wässrige Reiniger, Bremsenwaschgerät statt Sprühdose). Für ausreichende Lüftung sorgen; Zündquellen fernhalten. Im Gefahrstoffverzeichnis führen, Betriebsanweisung und geeignete Schutzhandschuhe bereitstellen.</t>
  </si>
  <si>
    <t xml:space="preserve">GefStoffV – fachlich zu prüfen</t>
  </si>
  <si>
    <t xml:space="preserve">DGUV Regel 109-009; GefStoffV § 7; TRGS 510</t>
  </si>
  <si>
    <t xml:space="preserve">B-089</t>
  </si>
  <si>
    <t xml:space="preserve">Kältemittel beim Klimaanlagen-Service: Erfrierungen, Erstickungsgefahr in Gruben und tiefliegenden Bereichen.</t>
  </si>
  <si>
    <t xml:space="preserve">Faktor: Physikalische, chemische und biologische Einwirkungen Maßnahmen: Klimaservice nur durch Beschäftigte mit Sachkunde; Kältemittel nur mit Absaug- und Recyclinggerät handhaben. Nicht in Arbeitsgruben oder tiefliegenden Bereichen ablassen (Kältemittel sind schwerer als Luft). Schutzbrille und Kälteschutzhandschuhe tragen.</t>
  </si>
  <si>
    <t xml:space="preserve">Ergänzen: „R1234yf ist entzündbar – Zündquellen fernhalten“; Sachkunde nach ChemKlimaschutzV / F-Gase-VO.</t>
  </si>
  <si>
    <t xml:space="preserve">DGUV Regel 109-009; ChemKlimaschutzV</t>
  </si>
  <si>
    <t xml:space="preserve">Brandgefahr neuer Kältemittel fehlt.</t>
  </si>
  <si>
    <t xml:space="preserve">B-090</t>
  </si>
  <si>
    <t xml:space="preserve">Batteriesäure und Knallgas beim Laden von Starterbatterien.</t>
  </si>
  <si>
    <t xml:space="preserve">Faktor: Physikalische, chemische und biologische Einwirkungen Maßnahmen: Batterien nur in gut gelüfteten Bereichen laden; Funken, offenes Feuer und Rauchen fernhalten. Schutzbrille und säurefeste Handschuhe tragen; Augenspüleinrichtung bereithalten.</t>
  </si>
  <si>
    <t xml:space="preserve">B-091</t>
  </si>
  <si>
    <t xml:space="preserve">Druckluft: Verletzungen durch Abblasen, peitschende Schläuche, Lärm.</t>
  </si>
  <si>
    <t xml:space="preserve">Faktor: Gestaltung, Auswahl und Einsatz von Arbeitsmitteln (Arbeitsstoffe, Maschinen, Geräte, Anlagen) und der Umgang damit Maßnahmen: Druckluft nie auf Personen richten; Kleidung und Haut nicht abblasen. Schläuche und Kupplungen regelmäßig kontrollieren und sichern. Kompressor und Druckbehälter nach BetrSichV prüfen lassen.</t>
  </si>
  <si>
    <t xml:space="preserve">BetrSichV – fachlich zu prüfen</t>
  </si>
  <si>
    <t xml:space="preserve">DGUV Regel 109-009; BetrSichV Anh. 2 Abschn. 4</t>
  </si>
  <si>
    <t xml:space="preserve">B-092</t>
  </si>
  <si>
    <t xml:space="preserve">Bäckerei</t>
  </si>
  <si>
    <t xml:space="preserve">Mehlstaub: Atemwegs- und Hauterkrankungen (Bäckerasthma).</t>
  </si>
  <si>
    <t xml:space="preserve">Faktor: Physikalische, chemische und biologische Einwirkungen Risiko (vorbelegt): hoch Maßnahmen: Staubarm arbeiten: Mehl nicht werfen oder abblasen, langsam einschütten, Knetmaschinen abdecken bzw. absaugen; staubarme Mehle und Trennmittel verwenden. Feucht reinigen oder saugen statt kehren. Arbeitsmedizinische Vorsorge bei Mehlstaub anbieten bzw. veranlassen (ArbMedVV Anhang Teil 1).</t>
  </si>
  <si>
    <t xml:space="preserve">ArbMedVV Anhang Teil 1; BGN – fachlich zu prüfen</t>
  </si>
  <si>
    <t xml:space="preserve">Vorsorge konkret: „Pflichtvorsorge bei Mehlstaub &gt; 4 mg/m³, Angebotsvorsorge bei Einhaltung (ArbMedVV Anhang Teil 1 Abs. 1 Nr. 2j / Abs. 2 Nr. 2j).“ Quelle BGN-Branchenwissen Backbetriebe ergänzen.</t>
  </si>
  <si>
    <t xml:space="preserve">ArbMedVV Anhang Teil 1 Abs. 1 Nr. 2 Buchst. j, Abs. 2 Nr. 2 Buchst. j; BGN</t>
  </si>
  <si>
    <t xml:space="preserve">Grenzwert 4 mg/m³ an der Verordnung bestätigt (K-001 erledigt).</t>
  </si>
  <si>
    <t xml:space="preserve">B-093</t>
  </si>
  <si>
    <t xml:space="preserve">Teig- und Knetmaschinen, Ausrollmaschinen: Einzug und Quetschen.</t>
  </si>
  <si>
    <t xml:space="preserve">Faktor: Gestaltung, Auswahl und Einsatz von Arbeitsmitteln (Arbeitsstoffe, Maschinen, Geräte, Anlagen) und der Umgang damit Risiko (vorbelegt): hoch Maßnahmen: Schutzgitter und Verriegelungen nicht überbrücken; nicht in laufende Maschinen greifen. Reinigen nur bei stillstehender und gegen Wiedereinschalten gesicherter Maschine. Maschinen und Schutzeinrichtungen regelmäßig prüfen (§ 14 BetrSichV).</t>
  </si>
  <si>
    <t xml:space="preserve">Quelle ergänzen: BGN Branchenwissen Backbetriebe; § 12 BetrSichV (Betriebsanweisung Maschine).</t>
  </si>
  <si>
    <t xml:space="preserve">§§ 12, 14 BetrSichV; BGN</t>
  </si>
  <si>
    <t xml:space="preserve">B-094</t>
  </si>
  <si>
    <t xml:space="preserve">Öfen, Stikkenöfen und Gärräume: Verbrennungen, heißer Dampf, Einschließen, kippende Stikkenwagen.</t>
  </si>
  <si>
    <t xml:space="preserve">Faktor: Gestaltung, Auswahl und Einsatz von Arbeitsmitteln (Arbeitsstoffe, Maschinen, Geräte, Anlagen) und der Umgang damit Maßnahmen: Hitzeschutzhandschuhe bereitstellen; Ofentüren vorsichtig öffnen (Dampf). Notöffnung von Gär- und Kühlräumen von innen regelmäßig prüfen. Stikkenwagen nicht überladen, Bremsen und Rollen prüfen.</t>
  </si>
  <si>
    <t xml:space="preserve">Nutzertest Bäckerei – fachlich zu prüfen</t>
  </si>
  <si>
    <t xml:space="preserve">Fachquelle statt Nutzertest einsetzen.</t>
  </si>
  <si>
    <t xml:space="preserve">BGN Branchenwissen Backbetriebe (Öfen, Gärräume)</t>
  </si>
  <si>
    <t xml:space="preserve">Inhalt fachlich plausibel.</t>
  </si>
  <si>
    <t xml:space="preserve">B-095</t>
  </si>
  <si>
    <t xml:space="preserve">Nachtarbeit und frühe Arbeitszeiten: Belastung der Gesundheit, Müdigkeit, Unfälle auf dem Arbeitsweg.</t>
  </si>
  <si>
    <t xml:space="preserve">Faktor: Gestaltung von Arbeits- und Fertigungsverfahren, Arbeitsabläufen und Arbeitszeit und deren Zusammenwirken Maßnahmen: Nachtarbeitnehmer vor Beginn und danach regelmäßig arbeitsmedizinisch untersuchen lassen, Kosten trägt der Betrieb (§ 6 Abs. 3 ArbZG); Ausgleich nach § 6 Abs. 5 ArbZG. Schichtpläne nach gesicherten arbeitswissenschaftlichen Erkenntnissen gestalten. Jugendliche: in Bäckereien nur in den Grenzen des § 14 JArbSchG (z. B. über 16 Jahre ab 5 Uhr, über 17 Jahre ab 4 Uhr).</t>
  </si>
  <si>
    <t xml:space="preserve">über 16 Jahre; über 17 Jahre</t>
  </si>
  <si>
    <t xml:space="preserve">§ 6 ArbZG; § 14 JArbSchG – fachlich zu prüfen</t>
  </si>
  <si>
    <t xml:space="preserve">Ergänzen: Untersuchung „vor Beginn und danach alle 3 Jahre, ab 50 Jahren jährlich“; Nachtzeit in Bäckereien 22–5 Uhr (§ 2 Abs. 3 ArbZG).</t>
  </si>
  <si>
    <t xml:space="preserve">§§ 2, 6 Abs. 3, 5 ArbZG; § 14 Abs. 2 Nr. 4, Abs. 3 JArbSchG</t>
  </si>
  <si>
    <t xml:space="preserve">Fristen fehlen; JArbSchG-Werte korrekt.</t>
  </si>
  <si>
    <t xml:space="preserve">B-096</t>
  </si>
  <si>
    <t xml:space="preserve">Transport / Kurier</t>
  </si>
  <si>
    <t xml:space="preserve">Straßenverkehr: Unfälle bei der Auslieferung.</t>
  </si>
  <si>
    <t xml:space="preserve">Faktor: Gestaltung, Auswahl und Einsatz von Arbeitsmitteln (Arbeitsstoffe, Maschinen, Geräte, Anlagen) und der Umgang damit Risiko (vorbelegt): hoch Maßnahmen: Fahrzeuge mindestens jährlich durch eine sachkundige Person prüfen lassen (§ 57 DGUV Vorschrift 70); vor Fahrtbeginn Abfahrtkontrolle. Nur geeignete, unterwiesene Fahrerinnen und Fahrer einsetzen (§ 35 DGUV Vorschrift 70); Führerscheine regelmäßig kontrollieren. Nicht telefonieren oder Scanner bedienen während der Fahrt.</t>
  </si>
  <si>
    <t xml:space="preserve">§§ 35, 57 DGUV Vorschrift 70</t>
  </si>
  <si>
    <t xml:space="preserve">§§ 35, 36, 57 DGUV Vorschrift 70</t>
  </si>
  <si>
    <t xml:space="preserve">B-097</t>
  </si>
  <si>
    <t xml:space="preserve">Zeitdruck und lange Touren: psychische Belastung, Ermüdung.</t>
  </si>
  <si>
    <t xml:space="preserve">Faktor: Psychische Belastungen bei der Arbeit Maßnahmen: Touren realistisch planen, Pausen einplanen (§ 4 ArbZG). Lenk- und Ruhezeiten einhalten, wo sie gelten; Rückmeldung der Fahrer zur Tourplanung einholen.</t>
  </si>
  <si>
    <t xml:space="preserve">Nutzertest Kurier – fachlich zu prüfen</t>
  </si>
  <si>
    <t xml:space="preserve">§§ 4, 21a ArbZG; BG Verkehr</t>
  </si>
  <si>
    <t xml:space="preserve">B-098</t>
  </si>
  <si>
    <t xml:space="preserve">Ladungssicherung: verrutschende oder herabfallende Ladung.</t>
  </si>
  <si>
    <t xml:space="preserve">Faktor: Gestaltung von Arbeits- und Fertigungsverfahren, Arbeitsabläufen und Arbeitszeit und deren Zusammenwirken Maßnahmen: Ladung so verstauen und sichern, dass sie auch bei Vollbremsung oder Ausweichbewegung nicht verrutscht (§ 22 StVO); Zurrgurte, Trennnetze und Antirutschmatten bereitstellen. Fahrer zur Ladungssicherung unterweisen.</t>
  </si>
  <si>
    <t xml:space="preserve">§ 22 StVO; VDI 2700 – fachlich zu prüfen</t>
  </si>
  <si>
    <t xml:space="preserve">§ 22 StVO; VDI 2700; DGUV Information 214-003 (Titel prüfen)</t>
  </si>
  <si>
    <t xml:space="preserve">B-099</t>
  </si>
  <si>
    <t xml:space="preserve">Heben und Tragen von Paketen, Treppen: Belastung von Rücken und Gelenken.</t>
  </si>
  <si>
    <t xml:space="preserve">Faktor: Gestaltung, Auswahl und Einsatz von Arbeitsmitteln (Arbeitsstoffe, Maschinen, Geräte, Anlagen) und der Umgang damit Maßnahmen: Sackkarre bzw. Treppensteiger bereitstellen; schwere Sendungen zu zweit tragen. Unterweisung zum rückengerechten Heben und Tragen (Lastenhandhabungsverordnung).</t>
  </si>
  <si>
    <t xml:space="preserve">LasthandhabV – fachlich zu prüfen</t>
  </si>
  <si>
    <t xml:space="preserve">Faktor auf „Arbeitsverfahren/physische Belastung“ umstellen.</t>
  </si>
  <si>
    <t xml:space="preserve">LasthandhabV; Leitmerkmalmethode</t>
  </si>
  <si>
    <t xml:space="preserve">B-100</t>
  </si>
  <si>
    <t xml:space="preserve">Lastenrad: Stürze, Unfälle, Überladung.</t>
  </si>
  <si>
    <t xml:space="preserve">Faktor: Gestaltung, Auswahl und Einsatz von Arbeitsmitteln (Arbeitsstoffe, Maschinen, Geräte, Anlagen) und der Umgang damit Maßnahmen: Vor dem ersten Einsatz einweisen; zulässiges Gesamtgewicht und Zuladung beachten. Räder regelmäßig warten (Bremsen, Beleuchtung, Reifen); Helm bereitstellen.</t>
  </si>
  <si>
    <t xml:space="preserve">BG Verkehr (Lastenräder)</t>
  </si>
  <si>
    <t xml:space="preserve">B-101</t>
  </si>
  <si>
    <t xml:space="preserve">Witterung: Hitze, Kälte, Nässe und Glätte auf der Tour.</t>
  </si>
  <si>
    <t xml:space="preserve">Faktor: Physikalische, chemische und biologische Einwirkungen Maßnahmen: Wetterschutzkleidung und bei Hitze Getränke bereitstellen; Sonnenschutz. Bei Glätte Touren anpassen; Winterausrüstung der Fahrzeuge.</t>
  </si>
  <si>
    <t xml:space="preserve">UV-Angebotsvorsorge ergänzen (wie B-050).</t>
  </si>
  <si>
    <t xml:space="preserve">ArbMedVV Anh. Teil 3</t>
  </si>
  <si>
    <t xml:space="preserve">B-102</t>
  </si>
  <si>
    <t xml:space="preserve">Hunde beim Zustellen: Bissverletzungen.</t>
  </si>
  <si>
    <t xml:space="preserve">Faktor: Sonstige Gefährdungen Maßnahmen: Grundstücke mit frei laufenden Hunden nicht betreten; Adressen an die Disposition melden. Verhalten gegenüber Hunden unterweisen.</t>
  </si>
  <si>
    <t xml:space="preserve">BG Verkehr</t>
  </si>
  <si>
    <t xml:space="preserve">B-103</t>
  </si>
  <si>
    <t xml:space="preserve">Überfall und Gewalt (Bargeld, Wertsendungen).</t>
  </si>
  <si>
    <t xml:space="preserve">Faktor: Psychische Belastungen bei der Arbeit Maßnahmen: Möglichst bargeldlos kassieren; Bargeld nicht offen mitführen. Verhalten bei Überfall unterweisen; Erreichbarkeit und Notruf regeln; Betreuung nach einem Vorfall.</t>
  </si>
  <si>
    <t xml:space="preserve">BG Verkehr / BGHW</t>
  </si>
  <si>
    <t xml:space="preserve">B-104</t>
  </si>
  <si>
    <t xml:space="preserve">Praxis / Gesundheit</t>
  </si>
  <si>
    <t xml:space="preserve">Biostoffe bei Untersuchung und Behandlung: Infektionen durch Blut, Körperflüssigkeiten und Ausscheidungen.</t>
  </si>
  <si>
    <t xml:space="preserve">Faktor: Physikalische, chemische und biologische Einwirkungen Maßnahmen: Tätigkeiten mit Biostoffen nach BioStoffV und TRBA 250 beurteilen und einer Schutzstufe zuordnen. Wirksame Desinfektionsverfahren festlegen (§ 11 Abs. 1 BioStoffV); Hygieneplan mit Händehygiene, Flächen- und Instrumentendesinfektion. Geeignete Schutzhandschuhe und Schutzkleidung bereitstellen. Arbeitsmedizinische Vorsorge nach ArbMedVV Anhang Teil 2 prüfen; Impfungen anbieten, soweit das Infektionsrisiko tätigkeitsbedingt erhöht ist (§ 6 Abs. 2 ArbMedVV).</t>
  </si>
  <si>
    <t xml:space="preserve">BioStoffV; TRBA 250; § 6 Abs. 2 ArbMedVV – fachlich zu prüfen</t>
  </si>
  <si>
    <t xml:space="preserve">BioStoffV; TRBA 250; ArbMedVV Anh. Teil 2 Abs. 1 Nr. 3 (u. a. HBV, HCV); § 6 Abs. 2 ArbMedVV</t>
  </si>
  <si>
    <t xml:space="preserve">Pflichtvorsorge-Anlässe Gesundheitsdienst nachgelesen.</t>
  </si>
  <si>
    <t xml:space="preserve">B-105</t>
  </si>
  <si>
    <t xml:space="preserve">Stich- und Schnittverletzungen durch gebrauchte Kanülen und scharfe Instrumente (Nadelstichverletzungen).</t>
  </si>
  <si>
    <t xml:space="preserve">Faktor: Physikalische, chemische und biologische Einwirkungen Risiko (vorbelegt): hoch Maßnahmen: Spitze und scharfe Instrumente durch solche mit Sicherheitsmechanismus ersetzen, soweit technisch möglich und zur Vermeidung einer Infektion erforderlich (§ 11 Abs. 2 BioStoffV). Gebrauchte Kanülen nicht in die Schutzkappe zurückstecken (§ 11 Abs. 3 BioStoffV). Stich- und bruchfeste, eindeutig gekennzeichnete Abwurfbehälter möglichst nah am Verwendungsort bereitstellen; nicht umfüllen (§ 11 Abs. 4 BioStoffV; TRBA 250 Nr. 4.2.5). Vorgehen nach einer Stichverletzung festlegen und aushängen: Blutfluss fördern, desinfizieren, Durchgangsarzt bzw. Betriebsarzt aufsuchen, im Verbandbuch eintragen; Beschäftigte über Verletzungen mit organisatorischen oder technischen Ursachen informieren (§ 11 Abs. 5 BioStoffV).</t>
  </si>
  <si>
    <t xml:space="preserve">§ 11 BioStoffV; TRBA 250 Nr. 4.2.5 – fachlich zu prüfen</t>
  </si>
  <si>
    <t xml:space="preserve">Vorgehen nach Stichverletzung von Betriebsarzt nach aktueller PEP-Leitlinie bestätigen lassen (D-Arzt sofort, HIV-PEP möglichst innerhalb 2 Std.).</t>
  </si>
  <si>
    <t xml:space="preserve">§ 11 Abs. 2–5 BioStoffV; TRBA 250 (Nr. an aktueller Fassung prüfen); Leitlinie HIV-PEP</t>
  </si>
  <si>
    <t xml:space="preserve">„Blutfluss fördern“ als Erstmaßnahme an aktueller Leitlinie prüfen.</t>
  </si>
  <si>
    <t xml:space="preserve">B-106</t>
  </si>
  <si>
    <t xml:space="preserve">Desinfektionsmittel: Reizungen von Haut und Atemwegen, Allergien.</t>
  </si>
  <si>
    <t xml:space="preserve">Faktor: Physikalische, chemische und biologische Einwirkungen Maßnahmen: Desinfektionsmittel im Gefahrstoffverzeichnis führen und eine Betriebsanweisung erstellen (GefStoffV, TRGS 525). Flächen wischen statt sprühen; Lösungen mit Dosierhilfe und nicht mit heißem Wasser ansetzen; lüften. Chemikalienbeständige Schutzhandschuhe tragen (z. B. aus Nitril) – Untersuchungshandschuhe schützen nicht ausreichend vor Chemikalien.</t>
  </si>
  <si>
    <t xml:space="preserve">BGW „Gefahrstoffe in der Arztpraxis“; TRGS 525 – fachlich zu prüfen</t>
  </si>
  <si>
    <t xml:space="preserve">BGW-Broschüre 2004 durch aktuelle BGW-Branchenhilfe Arztpraxis ersetzen.</t>
  </si>
  <si>
    <t xml:space="preserve">TRGS 525; aktuelle BGW-Schrift</t>
  </si>
  <si>
    <t xml:space="preserve">B-107</t>
  </si>
  <si>
    <t xml:space="preserve">Hautbelastung durch häufige Händedesinfektion, Händewaschen und langes Tragen von Handschuhen (Feuchtarbeit).</t>
  </si>
  <si>
    <t xml:space="preserve">Faktor: Physikalische, chemische und biologische Einwirkungen Maßnahmen: Feuchtarbeit nach TRGS 401 beurteilen; Hautschutzplan mit Hautschutz, Hautreinigung und Hautpflege aufstellen. Handschuhe nur so lange wie nötig tragen; bei längerem Tragen Unterziehhandschuhe aus Baumwolle. Arbeitsmedizinische Vorsorge bei Feuchtarbeit nach ArbMedVV Anhang Teil 1 anbieten bzw. veranlassen.</t>
  </si>
  <si>
    <t xml:space="preserve">TRGS 401; ArbMedVV Anhang Teil 1 – fachlich zu prüfen</t>
  </si>
  <si>
    <t xml:space="preserve">TRGS 401; ArbMedVV Anh. Teil 1</t>
  </si>
  <si>
    <t xml:space="preserve">B-108</t>
  </si>
  <si>
    <t xml:space="preserve">Röntgen und andere ionisierende Strahlung (nur Hinweis).</t>
  </si>
  <si>
    <t xml:space="preserve">Faktor: Sonstige Gefährdungen Maßnahmen: Röntgen und Strahlenschutz regeln das Strahlenschutzgesetz und die Strahlenschutzverordnung mit eigenen Pflichten (z. B. Fachkunde, Strahlenschutzverantwortliche und -beauftragte, Unterweisung) – nicht Gegenstand dieser Beurteilung; mit der zuständigen Strahlenschutzbehörde klären.</t>
  </si>
  <si>
    <t xml:space="preserve">StrlSchG; StrlSchV – unsicher, nur Hinweis</t>
  </si>
  <si>
    <t xml:space="preserve">unsicher</t>
  </si>
  <si>
    <t xml:space="preserve">StrlSchG; StrlSchV (Unterweisung § 63 StrlSchV)</t>
  </si>
  <si>
    <t xml:space="preserve">Als reiner Hinweis vertretbar.</t>
  </si>
  <si>
    <t xml:space="preserve">B-109</t>
  </si>
  <si>
    <t xml:space="preserve">Ergebnis für schwangere oder stillende Frauen</t>
  </si>
  <si>
    <t xml:space="preserve">Für schwangere oder stillende Frauen werden voraussichtlich keine Schutzmaßnahmen erforderlich sein.</t>
  </si>
  <si>
    <t xml:space="preserve">§ 10 Abs. 1 Satz 1 Nr. 2 Buchst. a MuSchG</t>
  </si>
  <si>
    <t xml:space="preserve">Wortlaut entspricht dem Gesetz.</t>
  </si>
  <si>
    <t xml:space="preserve">B-110</t>
  </si>
  <si>
    <t xml:space="preserve">Für schwangere oder stillende Frauen wird voraussichtlich eine Umgestaltung der Arbeitsbedingungen nach § 13 Abs. 1 Nr. 1 MuSchG erforderlich sein.</t>
  </si>
  <si>
    <t xml:space="preserve">§ 10 Abs. 1 Satz 1 Nr. 2 Buchst. b MuSchG</t>
  </si>
  <si>
    <t xml:space="preserve">B-111</t>
  </si>
  <si>
    <t xml:space="preserve">Eine Fortführung der Tätigkeit einer schwangeren oder stillenden Frau an diesem Arbeitsplatz wird voraussichtlich nicht möglich sein.</t>
  </si>
  <si>
    <t xml:space="preserve">§ 10 Abs. 1 Satz 1 Nr. 2 Buchst. c MuSchG</t>
  </si>
  <si>
    <t xml:space="preserve">B-112</t>
  </si>
  <si>
    <t xml:space="preserve">Gefährdungen und Schutzmaßnahmen für Jugendliche</t>
  </si>
  <si>
    <t xml:space="preserve">Gefährliche Arbeiten nur, soweit zur Ausbildung nötig, und unter Aufsicht einer fachkundigen Person (§ 22 JArbSchG).</t>
  </si>
  <si>
    <t xml:space="preserve">ohne Quellenfeld (Fundstelle im Text)</t>
  </si>
  <si>
    <t xml:space="preserve">„Gefährliche Arbeiten nach § 22 Abs. 1 JArbSchG nur, soweit zur Erreichung des Ausbildungsziels erforderlich, unter Aufsicht eines Fachkundigen; betriebsärztliche/sicherheitstechnische Betreuung sichergestellt (§ 22 Abs. 2, 3 JArbSchG).“</t>
  </si>
  <si>
    <t xml:space="preserve">§ 22 Abs. 2, 3 JArbSchG</t>
  </si>
  <si>
    <t xml:space="preserve">Fundstelle ins Quellenfeld; Abs. 3 fehlt.</t>
  </si>
  <si>
    <t xml:space="preserve">B-113</t>
  </si>
  <si>
    <t xml:space="preserve">Keine Akkord- oder Fließarbeit (§ 23 JArbSchG).</t>
  </si>
  <si>
    <t xml:space="preserve">Ausnahme ergänzen: „…, soweit nicht § 23 Abs. 2 JArbSchG greift (Ausbildung, Aufsicht).“</t>
  </si>
  <si>
    <t xml:space="preserve">§ 23 JArbSchG</t>
  </si>
  <si>
    <t xml:space="preserve">Abs. 2 lässt Ausnahmen zu.</t>
  </si>
  <si>
    <t xml:space="preserve">B-114</t>
  </si>
  <si>
    <t xml:space="preserve">Arbeitszeit höchstens 8 Stunden täglich und 40 Stunden wöchentlich; Pausen nach § 11 JArbSchG.</t>
  </si>
  <si>
    <t xml:space="preserve">höchstens 8 Stunden; 40 Stunden</t>
  </si>
  <si>
    <t xml:space="preserve">„Höchstens 8 Std. täglich / 40 Std. wöchentlich (8,5 Std. nach § 8 Abs. 2a); Ruhepausen 30 Min. bei mehr als 4,5–6 Std., 60 Min. bei mehr als 6 Std. (§ 11); Schichtzeit max. 10 Std. (§ 12); Nachtruhe 20–6 Uhr mit Ausnahmen nach § 14.“</t>
  </si>
  <si>
    <t xml:space="preserve">§§ 8, 11, 12, 14 JArbSchG</t>
  </si>
  <si>
    <t xml:space="preserve">Pausenwerte und Ausnahmen konkret nennen, sonst nicht anwendbar.</t>
  </si>
  <si>
    <t xml:space="preserve">B-115</t>
  </si>
  <si>
    <t xml:space="preserve">Unterweisung vor Beginn und mindestens halbjährlich (§ 29 JArbSchG).</t>
  </si>
  <si>
    <t xml:space="preserve">§ 29 Abs. 1, 2 JArbSchG</t>
  </si>
  <si>
    <t xml:space="preserve">Halbjährliche Wiederholung korrekt.</t>
  </si>
  <si>
    <t xml:space="preserve">B-116</t>
  </si>
  <si>
    <t xml:space="preserve">Überprüfung der Beurteilung</t>
  </si>
  <si>
    <t xml:space="preserve">bei Änderungen von Tätigkeiten, Arbeitsmitteln oder Arbeitsstoffen, nach Unfällen sowie jährlich</t>
  </si>
  <si>
    <t xml:space="preserve">Hinweis im Hilfetext: „jährlich“ ist Empfehlung (gute Praxis), keine Rechtsfrist.</t>
  </si>
  <si>
    <t xml:space="preserve">§ 3 Abs. 1 ArbSchG (Anpassung), DGUV Information 211-032 (Empfehlung)</t>
  </si>
  <si>
    <t xml:space="preserve">B-117</t>
  </si>
  <si>
    <t xml:space="preserve">bei Änderungen von Tätigkeiten, Arbeitsmitteln oder Arbeitsstoffen und nach Unfällen</t>
  </si>
  <si>
    <t xml:space="preserve">Anlässe ergänzen: „… Änderungen der Arbeitsstätte, Unfälle und Beinaheunfälle, Berufskrankheiten/Gesundheitsbeschwerden, Ergebnisse der arbeitsmedizinischen Vorsorge, neue Vorschriften oder Erkenntnisse, Beschäftigung Jugendlicher bzw. Mitteilung einer Schwangerschaft.“</t>
  </si>
  <si>
    <t xml:space="preserve">§ 3 Abs. 1 ArbSchG; § 3 Abs. 7 BetrSichV; § 6 Abs. 9 GefStoffV (Wortlaut 2024 prüfen)</t>
  </si>
  <si>
    <t xml:space="preserve">Anlassliste unvollständig (K-034).</t>
  </si>
  <si>
    <t xml:space="preserve">B-118</t>
  </si>
  <si>
    <t xml:space="preserve">Unterweisungsnachweis</t>
  </si>
  <si>
    <t xml:space="preserve">Themen der Unterweisung</t>
  </si>
  <si>
    <t xml:space="preserve">Gefährdungen am eigenen Arbeitsplatz und festgelegte Schutzmaßnahmen (Ergebnis der Gefährdungsbeurteilung)</t>
  </si>
  <si>
    <t xml:space="preserve">§ 12 ArbSchG</t>
  </si>
  <si>
    <t xml:space="preserve">§ 12 Abs. 1 ArbSchG; § 4 Abs. 1 DGUV Vorschrift 1</t>
  </si>
  <si>
    <t xml:space="preserve">B-119</t>
  </si>
  <si>
    <t xml:space="preserve">Erste Hilfe: Ersthelfer, Standort Verbandkasten, Notrufnummer, Dokumentation im Verbandbuch</t>
  </si>
  <si>
    <t xml:space="preserve">§§ 24, 26 DGUV Vorschrift 1; BGHW A 131</t>
  </si>
  <si>
    <t xml:space="preserve">§§ 24, 26 DGUV Vorschrift 1; ASR A4.3</t>
  </si>
  <si>
    <t xml:space="preserve">B-120</t>
  </si>
  <si>
    <t xml:space="preserve">Brandschutz: Verhalten im Brandfall, Umgang mit Feuerlöschern, Flucht- und Rettungswege</t>
  </si>
  <si>
    <t xml:space="preserve">§ 22 Abs. 2 DGUV Vorschrift 1</t>
  </si>
  <si>
    <t xml:space="preserve">§ 22 Abs. 2 DGUV Vorschrift 1; ASR A2.2 Nr. 7</t>
  </si>
  <si>
    <t xml:space="preserve">B-121</t>
  </si>
  <si>
    <t xml:space="preserve">Stolper-, Rutsch- und Sturzgefahren; Ordnung und Sauberkeit auf Verkehrswegen</t>
  </si>
  <si>
    <t xml:space="preserve">B-122</t>
  </si>
  <si>
    <t xml:space="preserve">Sichere Benutzung von Leitern und Tritten</t>
  </si>
  <si>
    <t xml:space="preserve">B-123</t>
  </si>
  <si>
    <t xml:space="preserve">Elektrische Geräte: Sichtprüfung vor Benutzung, Mängel melden, defekte Geräte nicht benutzen</t>
  </si>
  <si>
    <t xml:space="preserve">§ 4 Abs. 5 BetrSichV; DGUV Vorschrift 3</t>
  </si>
  <si>
    <t xml:space="preserve">B-124</t>
  </si>
  <si>
    <t xml:space="preserve">Gefahrstoffe: Inhalt der Betriebsanweisungen, Gefahren, Schutzmaßnahmen, Zugang zu Sicherheitsdatenblättern</t>
  </si>
  <si>
    <t xml:space="preserve">BGN</t>
  </si>
  <si>
    <t xml:space="preserve">„… Unterweisung mündlich anhand der Betriebsanweisung, mit Unterschrift der Unterwiesenen (§ 14 Abs. 2 GefStoffV)“ – als Hinweis zum Thema.</t>
  </si>
  <si>
    <t xml:space="preserve">§ 14 Abs. 2 GefStoffV</t>
  </si>
  <si>
    <t xml:space="preserve">GefStoffV verlangt mündliche Unterweisung und Unterschrift (Stand 17.12.2025 nachgelesen).</t>
  </si>
  <si>
    <t xml:space="preserve">B-125</t>
  </si>
  <si>
    <t xml:space="preserve">Hautschutz: Hautschutzplan, richtige Schutzhandschuhe, Hautreinigung und -pflege</t>
  </si>
  <si>
    <t xml:space="preserve">TRGS 401</t>
  </si>
  <si>
    <t xml:space="preserve">B-126</t>
  </si>
  <si>
    <t xml:space="preserve">Persönliche Schutzausrüstung: Auswahl, Benutzung, Pflege</t>
  </si>
  <si>
    <t xml:space="preserve">§ 3 PSA-BV; DGUV Regel 112-989</t>
  </si>
  <si>
    <t xml:space="preserve">B-127</t>
  </si>
  <si>
    <t xml:space="preserve">Gastronomie / Café, Handwerk / Bau (inkl. Holz / Tischlerei), Büro / Laden</t>
  </si>
  <si>
    <t xml:space="preserve">Heben und Tragen: Hilfsmittel, rückengerechte Technik</t>
  </si>
  <si>
    <t xml:space="preserve">Quelle neutral fassen.</t>
  </si>
  <si>
    <t xml:space="preserve">LasthandhabV; Leitmerkmalmethode (BAuA)</t>
  </si>
  <si>
    <t xml:space="preserve">„BG BAU“ als Quelle für Gastro/Büro unpassend.</t>
  </si>
  <si>
    <t xml:space="preserve">B-128</t>
  </si>
  <si>
    <t xml:space="preserve">Psychische Belastungen: Verhalten bei Konflikten, Aggression und Übergriffen, Unterstützungsangebote</t>
  </si>
  <si>
    <t xml:space="preserve">§ 5 Abs. 3 Nr. 6 ArbSchG; BGW</t>
  </si>
  <si>
    <t xml:space="preserve">B-129</t>
  </si>
  <si>
    <t xml:space="preserve">Friseurchemikalien (Färbe-, Blondier-, Dauerwellmittel): Mischen, Anwenden, Handschuhpflicht, Lüftung</t>
  </si>
  <si>
    <t xml:space="preserve">B-130</t>
  </si>
  <si>
    <t xml:space="preserve">Friseur, Kosmetik</t>
  </si>
  <si>
    <t xml:space="preserve">Feuchtarbeit und Hautschutz im Salon (Hautschutz- und Händehygieneplan)</t>
  </si>
  <si>
    <t xml:space="preserve">TRGS 401/530; BGW</t>
  </si>
  <si>
    <t xml:space="preserve">B-131</t>
  </si>
  <si>
    <t xml:space="preserve">Infektionsschutz und Hygiene: Stich- und Schnittverletzungen, Umgang mit Blut, Instrumentenaufbereitung</t>
  </si>
  <si>
    <t xml:space="preserve">BGW; BioStoffV</t>
  </si>
  <si>
    <t xml:space="preserve">B-132</t>
  </si>
  <si>
    <t xml:space="preserve">Bedienung höhenverstellbarer Behandlungsliegen (auch für Reinigungskräfte)</t>
  </si>
  <si>
    <t xml:space="preserve">B-133</t>
  </si>
  <si>
    <t xml:space="preserve">Fritteusen: Verbrühungsrisiko und Fettbrand, Löschen mit Brandklasse-F-Löscher</t>
  </si>
  <si>
    <t xml:space="preserve">BGN ASI 2.15</t>
  </si>
  <si>
    <t xml:space="preserve">B-134</t>
  </si>
  <si>
    <t xml:space="preserve">Gastronomie / Café, Handwerk / Bau (inkl. Holz / Tischlerei)</t>
  </si>
  <si>
    <t xml:space="preserve">Lärm: Gehörschutz ab 80/85 dB(A)</t>
  </si>
  <si>
    <t xml:space="preserve">85 dB(A)</t>
  </si>
  <si>
    <t xml:space="preserve">„Lärm: Gehörschutz bereitstellen ab 80 dB(A), tragen ab 85 dB(A)“</t>
  </si>
  <si>
    <t xml:space="preserve">§ 8 LärmVibrationsArbSchV</t>
  </si>
  <si>
    <t xml:space="preserve">„ab 80/85“ unklar; Quelle nicht BG BAU.</t>
  </si>
  <si>
    <t xml:space="preserve">B-135</t>
  </si>
  <si>
    <t xml:space="preserve">Staubarmes Arbeiten (Absaugung, Nassbearbeitung, Reinigung mit Industriesauger)</t>
  </si>
  <si>
    <t xml:space="preserve">TRGS 559/553; BG BAU</t>
  </si>
  <si>
    <t xml:space="preserve">B-136</t>
  </si>
  <si>
    <t xml:space="preserve">Umgang mit Zahlungsmitteln und Verhalten bei Überfällen</t>
  </si>
  <si>
    <t xml:space="preserve">B-137</t>
  </si>
  <si>
    <t xml:space="preserve">Bildschirmarbeit: Einstellung von Tisch, Stuhl und Bildschirm</t>
  </si>
  <si>
    <t xml:space="preserve">ASR A6</t>
  </si>
  <si>
    <t xml:space="preserve">B-138</t>
  </si>
  <si>
    <t xml:space="preserve">Arbeiten an elektrischen Anlagen: die fünf Sicherheitsregeln (freischalten, gegen Wiedereinschalten sichern, Spannungsfreiheit feststellen, erden und kurzschließen, benachbarte unter Spannung stehende Teile abdecken oder abschranken)</t>
  </si>
  <si>
    <t xml:space="preserve">DIN VDE 0105-100</t>
  </si>
  <si>
    <t xml:space="preserve">B-139</t>
  </si>
  <si>
    <t xml:space="preserve">Hebebühne und Arbeitsgrube: Fahrzeuge sicher aufnehmen, Grube absichern</t>
  </si>
  <si>
    <t xml:space="preserve">DGUV Grundsatz 308-002 – fachlich zu prüfen</t>
  </si>
  <si>
    <t xml:space="preserve">B-140</t>
  </si>
  <si>
    <t xml:space="preserve">Abgase von Dieselmotoren: Motor in der Halle nur mit Absaugung laufen lassen</t>
  </si>
  <si>
    <t xml:space="preserve">B-141</t>
  </si>
  <si>
    <t xml:space="preserve">Hochvolt-Fahrzeuge: Arbeiten nur mit passender Qualifikation, Spannungsfreiheit nach Herstellervorgabe</t>
  </si>
  <si>
    <t xml:space="preserve">B-142</t>
  </si>
  <si>
    <t xml:space="preserve">Reifenmontage und -befüllung: Füllgerät mit Druckbegrenzung, Füllkäfig, Radheber</t>
  </si>
  <si>
    <t xml:space="preserve">B-143</t>
  </si>
  <si>
    <t xml:space="preserve">Bremsenreiniger, Kältemittel und Batteriesäure: Lüftung, Zündquellen, Schutzausrüstung</t>
  </si>
  <si>
    <t xml:space="preserve">B-144</t>
  </si>
  <si>
    <t xml:space="preserve">Druckluft: nie auf Personen richten, Kleidung nicht abblasen</t>
  </si>
  <si>
    <t xml:space="preserve">B-145</t>
  </si>
  <si>
    <t xml:space="preserve">Mehlstaub vermeiden: staubarm arbeiten, feucht reinigen, arbeitsmedizinische Vorsorge</t>
  </si>
  <si>
    <t xml:space="preserve">ArbMedVV; BGN – fachlich zu prüfen</t>
  </si>
  <si>
    <t xml:space="preserve">ArbMedVV; BGN</t>
  </si>
  <si>
    <t xml:space="preserve">B-146</t>
  </si>
  <si>
    <t xml:space="preserve">Teig- und Knetmaschinen: nicht in laufende Maschinen greifen, Schutzeinrichtungen nicht überbrücken</t>
  </si>
  <si>
    <t xml:space="preserve">§ 12 BetrSichV; BGN</t>
  </si>
  <si>
    <t xml:space="preserve">B-147</t>
  </si>
  <si>
    <t xml:space="preserve">Öfen, Stikkenöfen und Gärräume: Verbrennungen, Dampf, Notöffnung</t>
  </si>
  <si>
    <t xml:space="preserve">B-148</t>
  </si>
  <si>
    <t xml:space="preserve">Nachtarbeit: Untersuchung für Nachtarbeitnehmer und Ausgleich (§ 6 ArbZG)</t>
  </si>
  <si>
    <t xml:space="preserve">§ 6 ArbZG</t>
  </si>
  <si>
    <t xml:space="preserve">B-149</t>
  </si>
  <si>
    <t xml:space="preserve">Fahrzeugführer: Eignung, Unterweisung, Abfahrtkontrolle und Verhalten bei Mängeln</t>
  </si>
  <si>
    <t xml:space="preserve">§ 35 DGUV Vorschrift 70 – fachlich zu prüfen</t>
  </si>
  <si>
    <t xml:space="preserve">§ 35 DGUV V70</t>
  </si>
  <si>
    <t xml:space="preserve">B-150</t>
  </si>
  <si>
    <t xml:space="preserve">Ladungssicherung: Ladung so sichern, dass sie bei Vollbremsung nicht verrutscht</t>
  </si>
  <si>
    <t xml:space="preserve">§ 22 StVO</t>
  </si>
  <si>
    <t xml:space="preserve">B-151</t>
  </si>
  <si>
    <t xml:space="preserve">Heben und Tragen: Sackkarre, Treppen, schwere Sendungen zu zweit</t>
  </si>
  <si>
    <t xml:space="preserve">B-152</t>
  </si>
  <si>
    <t xml:space="preserve">Lastenrad: Einweisung, Helm, Zuladung, Wartung</t>
  </si>
  <si>
    <t xml:space="preserve">B-153</t>
  </si>
  <si>
    <t xml:space="preserve">Auf der Tour: Witterung, Hunde, Überfall – richtig verhalten</t>
  </si>
  <si>
    <t xml:space="preserve">B-154</t>
  </si>
  <si>
    <t xml:space="preserve">Biostoffe: Händehygiene, Schutzhandschuhe, Desinfektion nach Hygieneplan, Impfangebot</t>
  </si>
  <si>
    <t xml:space="preserve">BioStoffV; TRBA 250 – fachlich zu prüfen</t>
  </si>
  <si>
    <t xml:space="preserve">BioStoffV § 14; TRBA 250</t>
  </si>
  <si>
    <t xml:space="preserve">B-155</t>
  </si>
  <si>
    <t xml:space="preserve">Stich- und Schnittverletzungen: Kanülen nicht zurückstecken, Abwurfbehälter, Vorgehen nach einer Verletzung</t>
  </si>
  <si>
    <t xml:space="preserve">§ 11 BioStoffV</t>
  </si>
  <si>
    <t xml:space="preserve">B-156</t>
  </si>
  <si>
    <t xml:space="preserve">Desinfektionsmittel sicher anwenden: wischen statt sprühen, richtig dosieren, geeignete Handschuhe</t>
  </si>
  <si>
    <t xml:space="preserve">TRGS 525 – fachlich zu prüfen</t>
  </si>
  <si>
    <t xml:space="preserve">TRGS 525</t>
  </si>
  <si>
    <t xml:space="preserve">B-157</t>
  </si>
  <si>
    <t xml:space="preserve">Betriebsanweisung</t>
  </si>
  <si>
    <t xml:space="preserve">Schutzmaßnahmen und Verhaltensregeln</t>
  </si>
  <si>
    <t xml:space="preserve">Schutzhandschuhe bei den gekennzeichneten Tätigkeiten tragen.</t>
  </si>
  <si>
    <t xml:space="preserve">Konkret fassen: „Beim Mischen, Auftragen und Auswaschen Schutzhandschuhe (Typ/Material laut Hautschutzplan) tragen.“</t>
  </si>
  <si>
    <t xml:space="preserve">TRGS 530 Nr. 5.4; TRGS 555 Nr. 3.1 Abs. 9</t>
  </si>
  <si>
    <t xml:space="preserve">„gekennzeichnete Tätigkeiten“ ist unbestimmt; TRGS 555 verlangt klare Gebote.</t>
  </si>
  <si>
    <t xml:space="preserve">B-158</t>
  </si>
  <si>
    <t xml:space="preserve">Schutzhandschuhe nur mit sauberen, trockenen Händen anziehen.</t>
  </si>
  <si>
    <t xml:space="preserve">TRGS 401 Nr. 5.5.3 Abs. 1</t>
  </si>
  <si>
    <t xml:space="preserve">TRGS 401 (Fundstelle 5.5.3 Abs. 1 gegenprüfen)</t>
  </si>
  <si>
    <t xml:space="preserve">B-159</t>
  </si>
  <si>
    <t xml:space="preserve">Beschädigte Handschuhe sofort austauschen.</t>
  </si>
  <si>
    <t xml:space="preserve">TRGS 401; BGW</t>
  </si>
  <si>
    <t xml:space="preserve">B-160</t>
  </si>
  <si>
    <t xml:space="preserve">Chemikalienschutzhandschuhe regelmäßig, spätestens arbeitstäglich wechseln; maximale Tragedauer beachten.</t>
  </si>
  <si>
    <t xml:space="preserve">TRGS 401 Nr. 5.5.3 Abs. 4</t>
  </si>
  <si>
    <t xml:space="preserve">„Einmalhandschuhe nach jedem Gebrauch entsorgen; wiederverwendbare Chemikalienschutzhandschuhe nach Herstellerangabe (Tragedauer/Permeationszeit) wechseln.“</t>
  </si>
  <si>
    <t xml:space="preserve">TRGS 401; TRGS 530 Nr. 5.4 Abs. 3</t>
  </si>
  <si>
    <t xml:space="preserve">„spätestens arbeitstäglich“ an TRGS 401 Nr. 5.5.3 Abs. 4 nicht bestätigt; Einmalhandschuhe nach TRGS 530 nicht wiederverwenden.</t>
  </si>
  <si>
    <t xml:space="preserve">B-161</t>
  </si>
  <si>
    <t xml:space="preserve">Bei ätzenden Stoffen Schutzbrille tragen.</t>
  </si>
  <si>
    <t xml:space="preserve">BGW 04-05-080; TRGS 555</t>
  </si>
  <si>
    <t xml:space="preserve">B-162</t>
  </si>
  <si>
    <t xml:space="preserve">Produkte nur nach Herstellerangaben anwenden; Konzentrate genau nach Anleitung dosieren.</t>
  </si>
  <si>
    <t xml:space="preserve">B-163</t>
  </si>
  <si>
    <t xml:space="preserve">Desinfektion im Wischverfahren durchführen; nicht sprühen oder vernebeln.</t>
  </si>
  <si>
    <t xml:space="preserve">TRGS 525 / BGW</t>
  </si>
  <si>
    <t xml:space="preserve">B-164</t>
  </si>
  <si>
    <t xml:space="preserve">Für ausreichende Lüftung sorgen; Sprühnebel, Stäube und Dämpfe nicht einatmen.</t>
  </si>
  <si>
    <t xml:space="preserve">„Lüftung (Fenster/Abluft) während der Anwendung eingeschaltet lassen; Sprühnebel, Stäube und Dämpfe nicht einatmen.“</t>
  </si>
  <si>
    <t xml:space="preserve">TRGS 530 Nr. 5.2; TRGS 555 Nr. 3.1 Abs. 9</t>
  </si>
  <si>
    <t xml:space="preserve">TRGS 555 Nr. 3.1 Abs. 9: unbestimmte Begriffe wie „ausreichend“ vermeiden.</t>
  </si>
  <si>
    <t xml:space="preserve">B-165</t>
  </si>
  <si>
    <t xml:space="preserve">Am Arbeitsplatz nicht essen, trinken oder rauchen.</t>
  </si>
  <si>
    <t xml:space="preserve">TRGS 500 / TRGS 530</t>
  </si>
  <si>
    <t xml:space="preserve">B-166</t>
  </si>
  <si>
    <t xml:space="preserve">Gefahrstoffe möglichst in Originalbehältern aufbewahren; abgefüllte Stoffe korrekt beschriften; niemals in Lebensmittel- oder Getränkebehälter abfüllen.</t>
  </si>
  <si>
    <t xml:space="preserve">TRGS 510; § 8 GefStoffV</t>
  </si>
  <si>
    <t xml:space="preserve">B-167</t>
  </si>
  <si>
    <t xml:space="preserve">Gefahrstoffe getrennt von Lebensmitteln und nicht über Augenhöhe lagern.</t>
  </si>
  <si>
    <t xml:space="preserve">TRGS 510</t>
  </si>
  <si>
    <t xml:space="preserve">B-168</t>
  </si>
  <si>
    <t xml:space="preserve">Am Arbeitsplatz höchstens den Tagesbedarf an entzündbaren Flüssigkeiten bereithalten.</t>
  </si>
  <si>
    <t xml:space="preserve">B-169</t>
  </si>
  <si>
    <t xml:space="preserve">Verunreinigte oder mit Chemikalien getränkte Kleidung sofort ablegen und vor dem erneuten Tragen waschen.</t>
  </si>
  <si>
    <t xml:space="preserve">B-170</t>
  </si>
  <si>
    <t xml:space="preserve">Arm- und Handschmuck bei der Arbeit ablegen.</t>
  </si>
  <si>
    <t xml:space="preserve">TRGS 530 Nr. 5.1 Abs. 3</t>
  </si>
  <si>
    <t xml:space="preserve">Wortlaut bestätigt.</t>
  </si>
  <si>
    <t xml:space="preserve">B-171</t>
  </si>
  <si>
    <t xml:space="preserve">Hautschutzplan beachten.</t>
  </si>
  <si>
    <t xml:space="preserve">TRGS 401 Nr. 5.5.1 Abs. 6 (Verweis der Betriebsanweisung auf Hand- und Hautschutzplan)</t>
  </si>
  <si>
    <t xml:space="preserve">B-172</t>
  </si>
  <si>
    <t xml:space="preserve">Verhalten im Gefahrfall</t>
  </si>
  <si>
    <t xml:space="preserve">Verschüttete Substanz sofort mit Schutzhandschuhen aufnehmen.</t>
  </si>
  <si>
    <t xml:space="preserve">B-173</t>
  </si>
  <si>
    <t xml:space="preserve">Verunreinigungen und Behälterrückstände sofort beseitigen; Bindemittel bereithalten.</t>
  </si>
  <si>
    <t xml:space="preserve">B-174</t>
  </si>
  <si>
    <t xml:space="preserve">Erste Hilfe</t>
  </si>
  <si>
    <t xml:space="preserve">Nach Augenkontakt: mit viel Wasser spülen und ärztlichen Rat einholen.</t>
  </si>
  <si>
    <t xml:space="preserve">„Augen sofort bei geöffnetem Lidspalt mindestens 10 Minuten mit Wasser spülen (Augenspülflasche), dann Augenarzt.“</t>
  </si>
  <si>
    <t xml:space="preserve">TRGS 555 Nr. 3.2.7; Sicherheitsdatenblatt Abschnitt 4</t>
  </si>
  <si>
    <t xml:space="preserve">„mit viel Wasser“ ist unbestimmt.</t>
  </si>
  <si>
    <t xml:space="preserve">B-175</t>
  </si>
  <si>
    <t xml:space="preserve">Nach Hautkontakt: mit viel Wasser spülen; bei Beschwerden ärztlichen Rat einholen.</t>
  </si>
  <si>
    <t xml:space="preserve">TRGS 555 Nr. 3.2.7</t>
  </si>
  <si>
    <t xml:space="preserve">B-176</t>
  </si>
  <si>
    <t xml:space="preserve">Nach Einatmen: bei Beschwerden ärztlichen Rat einholen.</t>
  </si>
  <si>
    <t xml:space="preserve">„Nach Einatmen: an die frische Luft; bei Beschwerden Arzt.“</t>
  </si>
  <si>
    <t xml:space="preserve">Sofortmaßnahme fehlt.</t>
  </si>
  <si>
    <t xml:space="preserve">B-177</t>
  </si>
  <si>
    <t xml:space="preserve">Nach Verschlucken: ärztlichen Rat einholen.</t>
  </si>
  <si>
    <t xml:space="preserve">„Nach Verschlucken: Mund ausspülen, kein Erbrechen herbeiführen, sofort Arzt / Giftnotruf.“</t>
  </si>
  <si>
    <t xml:space="preserve">TRGS 555 Nr. 3.2.7 (was zu unterlassen ist)</t>
  </si>
  <si>
    <t xml:space="preserve">TRGS 555 verlangt auch, was zu unterlassen ist.</t>
  </si>
  <si>
    <t xml:space="preserve">B-178</t>
  </si>
  <si>
    <t xml:space="preserve">Zum Arzt Gebrauchsanweisung oder Packung bzw. Behältnis des Produkts mitnehmen.</t>
  </si>
  <si>
    <t xml:space="preserve">TRGS 555</t>
  </si>
  <si>
    <t xml:space="preserve">B-179</t>
  </si>
  <si>
    <t xml:space="preserve">Sachgerechte Entsorgung</t>
  </si>
  <si>
    <t xml:space="preserve">Abfälle nur über die im Betrieb festgelegten Entsorgungswege entsorgen.</t>
  </si>
  <si>
    <t xml:space="preserve">TRGS 555 Nr. 3.2.8</t>
  </si>
  <si>
    <t xml:space="preserve">B-180</t>
  </si>
  <si>
    <t xml:space="preserve">Restentleerte Spraydosen sicher entsorgen; auch geleerte Behälter entzündbarer Flüssigkeiten können Brand- und Explosionsgefahr verursachen.</t>
  </si>
  <si>
    <t xml:space="preserve">B-181</t>
  </si>
  <si>
    <t xml:space="preserve">Nicht mehr benötigte Produkte fachgerecht entsorgen.</t>
  </si>
  <si>
    <t xml:space="preserve">B-182</t>
  </si>
  <si>
    <t xml:space="preserve">Prüfprotokoll elektrische Geräte (DGUV V3)</t>
  </si>
  <si>
    <t xml:space="preserve">Umfang der Prüfung</t>
  </si>
  <si>
    <t xml:space="preserve">Sichtprüfung</t>
  </si>
  <si>
    <t xml:space="preserve">DIN EN 50678 / 50699 Abschn. Sichtprüfung</t>
  </si>
  <si>
    <t xml:space="preserve">B-183</t>
  </si>
  <si>
    <t xml:space="preserve">Messung des Schutzleiterwiderstands</t>
  </si>
  <si>
    <t xml:space="preserve">DIN EN 50678 / 50699</t>
  </si>
  <si>
    <t xml:space="preserve">B-184</t>
  </si>
  <si>
    <t xml:space="preserve">Messung des Isolationswiderstands</t>
  </si>
  <si>
    <t xml:space="preserve">B-185</t>
  </si>
  <si>
    <t xml:space="preserve">Messung des Schutzleiter- bzw. Berührungsstroms</t>
  </si>
  <si>
    <t xml:space="preserve">B-186</t>
  </si>
  <si>
    <t xml:space="preserve">Funktionsprüfung</t>
  </si>
  <si>
    <t xml:space="preserve">B-187</t>
  </si>
  <si>
    <t xml:space="preserve">Prüfgrundlage</t>
  </si>
  <si>
    <t xml:space="preserve">DIN EN 50678 (VDE 0701) / DIN EN 50699 (VDE 0702)</t>
  </si>
  <si>
    <t xml:space="preserve">Ausgabestände nennen: „DIN EN 50678 (VDE 0701):2021-02 (nach Instandsetzung) / DIN EN 50699 (VDE 0702):2021-06 (Wiederholungsprüfung)“</t>
  </si>
  <si>
    <t xml:space="preserve">Normen selbst</t>
  </si>
  <si>
    <t xml:space="preserve">Zuordnung Instandsetzung vs. Wiederholungsprüfung für Laien wichtig; Elektrofachkraft bestätigen lassen.</t>
  </si>
  <si>
    <t xml:space="preserve">B-188</t>
  </si>
  <si>
    <t xml:space="preserve">Einsatzbedingungen (Richtwert für die Prüffrist)</t>
  </si>
  <si>
    <t xml:space="preserve">Ortsveränderliche elektrische Betriebsmittel (soweit benutzt), Verlängerungs- und Geräteanschlussleitungen mit Steckvorrichtungen, Anschlussleitungen mit Stecker, bewegliche Leitungen mit Stecker und Festanschluss – allgemein: Richtwert 6 Monate</t>
  </si>
  <si>
    <t xml:space="preserve">6 Monate</t>
  </si>
  <si>
    <t xml:space="preserve">DGUV Vorschrift 3, Durchführungsanweisung zu § 5, Tabelle 1B</t>
  </si>
  <si>
    <t xml:space="preserve">DGUV V3, DA zu § 5, Tab. 1B</t>
  </si>
  <si>
    <t xml:space="preserve">B-189</t>
  </si>
  <si>
    <t xml:space="preserve">Baustellen: Richtwert 3 Monate, höchstens 1 Jahr bei Fehlerquote unter 2 %</t>
  </si>
  <si>
    <t xml:space="preserve">3 Monate; höchstens 1 Jahr; unter 2 %</t>
  </si>
  <si>
    <t xml:space="preserve">B-190</t>
  </si>
  <si>
    <t xml:space="preserve">Fertigungsstätten, Werkstätten oder unter ähnlichen Bedingungen: Richtwert 6 Monate, höchstens 1 Jahr bei Fehlerquote unter 2 %</t>
  </si>
  <si>
    <t xml:space="preserve">6 Monate; höchstens 1 Jahr; unter 2 %</t>
  </si>
  <si>
    <t xml:space="preserve">B-191</t>
  </si>
  <si>
    <t xml:space="preserve">Büros oder unter ähnlichen Bedingungen: Richtwert 6 Monate, höchstens 2 Jahre bei Fehlerquote unter 2 %</t>
  </si>
  <si>
    <t xml:space="preserve">6 Monate; höchstens 2 Jahre; unter 2 %</t>
  </si>
  <si>
    <t xml:space="preserve">B-192</t>
  </si>
  <si>
    <t xml:space="preserve">Hautschutzplan</t>
  </si>
  <si>
    <t xml:space="preserve">Tätigkeiten</t>
  </si>
  <si>
    <t xml:space="preserve">Shampoonieren, Kopfmassage mit Haarbehandlungsmitteln, Pflegemittel auftragen/auswaschen</t>
  </si>
  <si>
    <t xml:space="preserve">Hautschutz: Hände mit Hautschutzpräparat eincremen Handschuhe: Einmalhandschuhe aus Nitril oder Vinyl mit langen Stulpen über das Handgelenk (alternativ Waschhandschuhe) Reinigung: Hände nur bei Verschmutzung waschen, ggf. mit pH-hautneutralem Reinigungsmittel; gut abtrocknen Pflege: Nach dem Waschen, vor Pausen und nach Arbeitsende Hände mit Hautpflegepräparat eincremen</t>
  </si>
  <si>
    <t xml:space="preserve">TRGS 530 / BGW</t>
  </si>
  <si>
    <t xml:space="preserve">Hautschutz vor dem Handschuh nur mit Präparat, das laut Hersteller handschuhverträglich ist; sonst Hautschutz in Phasen ohne Handschuh.</t>
  </si>
  <si>
    <t xml:space="preserve">TRGS 401; TRGS 530</t>
  </si>
  <si>
    <t xml:space="preserve">Hautschutzmittel kann Handschuhmaterial beeinträchtigen.</t>
  </si>
  <si>
    <t xml:space="preserve">B-193</t>
  </si>
  <si>
    <t xml:space="preserve">Färben, Dauerwelle, Blondierung: Mischen, Auftragen, Überprüfen, Probewickeln, Fixieren</t>
  </si>
  <si>
    <t xml:space="preserve">Hautschutz: Hände mit Hautschutzpräparat eincremen Handschuhe: Friseur-Einmalhandschuhe nach DIN EN ISO 374-6 (Friseur-Symbol), keine gepuderten Latexhandschuhe Reinigung: Hände nur bei Verschmutzung waschen, ggf. mit pH-hautneutralem Reinigungsmittel; gut abtrocknen Pflege: Nach dem Waschen, vor Pausen und nach Arbeitsende Hände mit Hautpflegepräparat eincremen</t>
  </si>
  <si>
    <t xml:space="preserve">TRGS 530 Nr. 5.4; DIN EN ISO 374-6:2025</t>
  </si>
  <si>
    <t xml:space="preserve">B-194</t>
  </si>
  <si>
    <t xml:space="preserve">Färben, Dauerwelle, Blondierung: Aufemulgieren, Auswaschen</t>
  </si>
  <si>
    <t xml:space="preserve">Hautschutz: Hände mit Hautschutzpräparat eincremen Handschuhe: Einmalhandschuhe mit langen Stulpen Reinigung: Hände nur bei Verschmutzung waschen, ggf. mit pH-hautneutralem Reinigungsmittel; gut abtrocknen Pflege: Nach dem Waschen, vor Pausen und nach Arbeitsende Hände mit Hautpflegepräparat eincremen</t>
  </si>
  <si>
    <t xml:space="preserve">B-195</t>
  </si>
  <si>
    <t xml:space="preserve">Styling, Kopfmassage ohne Haarbehandlungsmittel</t>
  </si>
  <si>
    <t xml:space="preserve">Hautschutz: Hände mit Hautschutzpräparat eincremen Handschuhe: Einmalhandschuhe bei empfindlicher Haut Reinigung: Hände nur bei Verschmutzung waschen, ggf. mit pH-hautneutralem Reinigungsmittel; gut abtrocknen Pflege: Nach dem Waschen, vor Pausen und nach Arbeitsende Hände mit Hautpflegepräparat eincremen</t>
  </si>
  <si>
    <t xml:space="preserve">B-196</t>
  </si>
  <si>
    <t xml:space="preserve">Reinigung und Desinfektion von Arbeitsgeräten und Räumen</t>
  </si>
  <si>
    <t xml:space="preserve">Hautschutz: Hände mit Hautschutzpräparat eincremen Handschuhe: Haushaltshandschuhe bzw. chemikalienbeständige Schutzhandschuhe nach DIN EN ISO 374, ggf. mit längerem Schaft Reinigung: Hände nur bei Verschmutzung waschen, ggf. mit pH-hautneutralem Reinigungsmittel; gut abtrocknen Pflege: Nach dem Waschen, vor Pausen und nach Arbeitsende Hände mit Hautpflegepräparat eincremen</t>
  </si>
  <si>
    <t xml:space="preserve">B-197</t>
  </si>
  <si>
    <t xml:space="preserve">Lange Handschuhtragezeiten (alle Tätigkeiten)</t>
  </si>
  <si>
    <t xml:space="preserve">Handschuhe: Nahtlose Baumwoll-Unterziehhandschuhe; Handschuhe nur auf vollständig trockene Hände anziehen; beschädigte Handschuhe sofort austauschen</t>
  </si>
  <si>
    <t xml:space="preserve">Fehlende Gefährdung</t>
  </si>
  <si>
    <t xml:space="preserve">Faktor</t>
  </si>
  <si>
    <t xml:space="preserve">Maßnahmen (Vorschlag, STOP)</t>
  </si>
  <si>
    <t xml:space="preserve">Fachquelle</t>
  </si>
  <si>
    <t xml:space="preserve">Risiko (Vorschlag)</t>
  </si>
  <si>
    <t xml:space="preserve">CO2 aus Getränkeschankanlagen und Druckgasflaschen im Keller: Erstickung</t>
  </si>
  <si>
    <t xml:space="preserve">Physikalische, chemische und biologische Einwirkungen</t>
  </si>
  <si>
    <t xml:space="preserve">CO2-Warnanlage in Räumen mit Gasflaschen bzw. Schankanlage; Flaschen gegen Umfallen sichern; Prüfung der Schankanlage nach BetrSichV; Unterweisung.</t>
  </si>
  <si>
    <t xml:space="preserve">DGUV Regel 110-007 (Getränkeschankanlagen); BetrSichV; TRGS 510</t>
  </si>
  <si>
    <t xml:space="preserve">hoch</t>
  </si>
  <si>
    <t xml:space="preserve">Gasgeräte, Flüssiggas: Brand, Explosion, CO</t>
  </si>
  <si>
    <t xml:space="preserve">Sonstige Gefährdungen (Brand/Explosion)</t>
  </si>
  <si>
    <t xml:space="preserve">Gasgeräte mit Lüftung verriegeln (schon in B-031 angedeutet); Flüssiggasanlagen prüfen lassen; Gasmangelsicherung; Verhalten bei Gasgeruch unterweisen.</t>
  </si>
  <si>
    <t xml:space="preserve">DGUV Vorschrift 79; DGUV Regel 110-003; BetrSichV</t>
  </si>
  <si>
    <t xml:space="preserve">Brandschutz allgemein (über Fettbrand hinaus): Feuerlöscher, Fluchtwege, Brandschutzhelfer</t>
  </si>
  <si>
    <t xml:space="preserve">Sonstige Gefährdungen</t>
  </si>
  <si>
    <t xml:space="preserve">Grundausstattung Löscher nach ASR A2.2; Fluchtwege frei; Brandschutzhelfer (i. d. R. 5 %).</t>
  </si>
  <si>
    <t xml:space="preserve">ASR A2.2; ASR A2.3</t>
  </si>
  <si>
    <t xml:space="preserve">mittel</t>
  </si>
  <si>
    <t xml:space="preserve">Alleinarbeit, Spät- und Nachtschicht, Gästeaggression beim Kassenabschluss</t>
  </si>
  <si>
    <t xml:space="preserve">Psychische Belastungen</t>
  </si>
  <si>
    <t xml:space="preserve">Erreichbarkeit/Notruf; Kassenabschluss ohne Publikum; Bargeld reduzieren.</t>
  </si>
  <si>
    <t xml:space="preserve">BGN; DGUV Regel 112-139</t>
  </si>
  <si>
    <t xml:space="preserve">Schnitt- und Stichverletzungen an Scheren, Rasiermessern (mit Blutkontakt)</t>
  </si>
  <si>
    <t xml:space="preserve">Gestaltung, Auswahl und Einsatz von Arbeitsmitteln</t>
  </si>
  <si>
    <t xml:space="preserve">Rasiermesser mit Wechselklinge; Klingen in durchstichsichere Behälter; Verbandbuch; Hygieneplan.</t>
  </si>
  <si>
    <t xml:space="preserve">BGW; Landes-Hygieneverordnung</t>
  </si>
  <si>
    <t xml:space="preserve">Verbrennungen an Glätteisen, Lockenstab, Wärmegeräten</t>
  </si>
  <si>
    <t xml:space="preserve">Hitzefeste Ablagen; Geräte nach Gebrauch abschalten.</t>
  </si>
  <si>
    <t xml:space="preserve">gering</t>
  </si>
  <si>
    <t xml:space="preserve">Verbrennungen durch Heißwachs; UV-Strahlung von Nageltrocknern</t>
  </si>
  <si>
    <t xml:space="preserve">Physikalische Einwirkungen</t>
  </si>
  <si>
    <t xml:space="preserve">Wachserwärmer mit Temperaturregelung; LED-Geräte bevorzugen; Herstellerangaben.</t>
  </si>
  <si>
    <t xml:space="preserve">BGW 04-05-080; OStrV</t>
  </si>
  <si>
    <t xml:space="preserve">Hautbelastung durch Teig, Mehl, Feuchtarbeit, Reinigungsmittel</t>
  </si>
  <si>
    <t xml:space="preserve">Hautschutzplan; Handschuhe bei Reinigung; Feuchtarbeitszeiten (ArbMedVV).</t>
  </si>
  <si>
    <t xml:space="preserve">TRGS 401; BGN</t>
  </si>
  <si>
    <t xml:space="preserve">Schneid- und Brotschneidemaschinen, Ausrutschen auf Mehl/Wasser, Heben von Mehlsäcken (25 kg)</t>
  </si>
  <si>
    <t xml:space="preserve">Arbeitsmittel / Arbeitsstätte / Arbeitsverfahren</t>
  </si>
  <si>
    <t xml:space="preserve">Schutzeinrichtungen; R-Wert Backstube nach ASR A1.5 Anh. 2; Hebehilfen, Sackkarre.</t>
  </si>
  <si>
    <t xml:space="preserve">BGN; ASR A1.5; LasthandhabV</t>
  </si>
  <si>
    <t xml:space="preserve">Schweißen und Schneiden: Schweißrauch, Brand, optische Strahlung</t>
  </si>
  <si>
    <t xml:space="preserve">Absaugung an der Entstehungsstelle; Brandwache/Erlaubnisschein; Schutzschirm. Vorsorge: Pflicht &gt; 3 mg/m³ Schweißrauch, Angebot bei Einhaltung (ArbMedVV Anh. Teil 1 Abs. 1 Nr. 2b / Abs. 2 Nr. 2f).</t>
  </si>
  <si>
    <t xml:space="preserve">TRGS 528; DGUV Regel 100-500 Kap. 2.26; ArbMedVV</t>
  </si>
  <si>
    <t xml:space="preserve">Hautkontakt mit Altöl, Kraftstoff (Benzol), Kühlschmierstoff</t>
  </si>
  <si>
    <t xml:space="preserve">Chemikalienschutzhandschuhe; Hautschutzplan; keine Reinigung mit Kraftstoff.</t>
  </si>
  <si>
    <t xml:space="preserve">TRGS 401; DGUV Regel 109-009</t>
  </si>
  <si>
    <t xml:space="preserve">Pyrotechnische Rückhaltesysteme (Airbag, Gurtstraffer)</t>
  </si>
  <si>
    <t xml:space="preserve">Nur unterwiesene Beschäftigte; Herstellerangaben; Lagerung nach SprengG-Vorgaben.</t>
  </si>
  <si>
    <t xml:space="preserve">Brand- und Explosionsgefahr durch Kraftstoffe, Lacke, Batterieladung</t>
  </si>
  <si>
    <t xml:space="preserve">Zündquellen; Ex-Bereiche nach GB; Feuerlöscher.</t>
  </si>
  <si>
    <t xml:space="preserve">TRGS 720 ff.; DGUV Regel 109-009</t>
  </si>
  <si>
    <t xml:space="preserve">Ein- und Aussteigen, Laderaum, Hubladebühne: Stürze und Quetschen</t>
  </si>
  <si>
    <t xml:space="preserve">Trittstufen und Haltegriffe; Hubladebühne prüfen; nicht springen.</t>
  </si>
  <si>
    <t xml:space="preserve">DGUV Vorschrift 70; BG Verkehr</t>
  </si>
  <si>
    <t xml:space="preserve">Rangieren und Rückwärtsfahren</t>
  </si>
  <si>
    <t xml:space="preserve">Einweiser bzw. Rückfahrkamera; § 46 DGUV V70.</t>
  </si>
  <si>
    <t xml:space="preserve">§ 46 DGUV Vorschrift 70 (Nr. prüfen)</t>
  </si>
  <si>
    <t xml:space="preserve">Feuchtarbeit und Hautbelastung durch Reinigungsmittel</t>
  </si>
  <si>
    <t xml:space="preserve">Hautschutzplan; geeignete Handschuhe mit Unterziehhandschuhen; Vorsorge nach ArbMedVV (&gt; 2 / ≥ 4 Std.).</t>
  </si>
  <si>
    <t xml:space="preserve">TRGS 401; ArbMedVV Anh. Teil 1; BG BAU</t>
  </si>
  <si>
    <t xml:space="preserve">Ätzende Sanitär- und Grundreiniger: Verätzung von Haut und Augen</t>
  </si>
  <si>
    <t xml:space="preserve">Ersatz durch mildere Reiniger; Dosiersysteme; Schutzbrille; Betriebsanweisung.</t>
  </si>
  <si>
    <t xml:space="preserve">DGUV Regel 101-019; TRGS 555</t>
  </si>
  <si>
    <t xml:space="preserve">Ausrutschen auf frisch gewischten Böden</t>
  </si>
  <si>
    <t xml:space="preserve">Gestaltung und Einrichtung der Arbeitsstätte</t>
  </si>
  <si>
    <t xml:space="preserve">Bereiche absperren/kennzeichnen; rutschhemmende Schuhe; Nass-/Trockenzonen.</t>
  </si>
  <si>
    <t xml:space="preserve">ASR A1.5; BG BAU</t>
  </si>
  <si>
    <t xml:space="preserve">Absturz bei Glas- und Fensterreinigung, Leitern und Tritte</t>
  </si>
  <si>
    <t xml:space="preserve">Teleskopstangen statt Leiter; geeignete Tritte; Anschlageinrichtungen nutzen.</t>
  </si>
  <si>
    <t xml:space="preserve">DGUV Information 208-016; BG BAU</t>
  </si>
  <si>
    <t xml:space="preserve">Biostoffe in Sanitärbereichen</t>
  </si>
  <si>
    <t xml:space="preserve">Handschuhe; Farbkodierung Reinigungstücher; Händehygiene; Impfangebot prüfen (Betriebsarzt).</t>
  </si>
  <si>
    <t xml:space="preserve">BioStoffV; TRBA 220/250 sinngemäß</t>
  </si>
  <si>
    <t xml:space="preserve">Heben/Tragen, Zwangshaltungen, Reinigungsmaschinen (Lärm, Elektrik)</t>
  </si>
  <si>
    <t xml:space="preserve">Arbeitsverfahren / Arbeitsmittel</t>
  </si>
  <si>
    <t xml:space="preserve">Leichte Geräte, Fahrwagen; DGUV V3-Prüfung; Kabelführung.</t>
  </si>
  <si>
    <t xml:space="preserve">LasthandhabV; DGUV V3</t>
  </si>
  <si>
    <t xml:space="preserve">Flurförderzeuge (Handhubwagen) und Warenannahme</t>
  </si>
  <si>
    <t xml:space="preserve">Unterweisung; Sicherheitsschuhe; Verkehrswege trennen.</t>
  </si>
  <si>
    <t xml:space="preserve">BGHW; DGUV Vorschrift 68 (nur bei Gabelstaplern)</t>
  </si>
  <si>
    <t xml:space="preserve">Kälte an Kühltheken und in Kühlräumen</t>
  </si>
  <si>
    <t xml:space="preserve">Kälteschutzkleidung; Aufwärmzeiten.</t>
  </si>
  <si>
    <t xml:space="preserve">BGHW; ASR A3.5</t>
  </si>
  <si>
    <t xml:space="preserve">Gewalt und Aggression durch Patienten</t>
  </si>
  <si>
    <t xml:space="preserve">Notfallplan, Alarmierung, Deeskalationsschulung, Nachsorge.</t>
  </si>
  <si>
    <t xml:space="preserve">BGW; DGUV Information 207-025 (Titel prüfen)</t>
  </si>
  <si>
    <t xml:space="preserve">Laser in Dermatologie/Zahnmedizin</t>
  </si>
  <si>
    <t xml:space="preserve">Laserschutzbeauftragter (§ 5 Abs. 2 OStrV); Schutzbrillen; Bereich kennzeichnen.</t>
  </si>
  <si>
    <t xml:space="preserve">OStrV; TROS Laserstrahlung</t>
  </si>
  <si>
    <t xml:space="preserve">Narkosegase/Lachgas (Zahnarzt), Quecksilber/Amalgam, Methacrylate</t>
  </si>
  <si>
    <t xml:space="preserve">Absaugung; geschlossene Systeme; Gefahrstoffverzeichnis; Mutterschutz beachten.</t>
  </si>
  <si>
    <t xml:space="preserve">Mutterschutz bei Biostoffen (Röteln, CMV, Varizellen)</t>
  </si>
  <si>
    <t xml:space="preserve">Sonstige / Mutterschutz</t>
  </si>
  <si>
    <t xml:space="preserve">Immunstatus klären; unverantwortbare Gefährdung nach § 11 Abs. 2 MuSchG beurteilen.</t>
  </si>
  <si>
    <t xml:space="preserve">§ 11 Abs. 2 MuSchG</t>
  </si>
  <si>
    <t xml:space="preserve">Alle Branchen</t>
  </si>
  <si>
    <t xml:space="preserve">Mutterschutz: Gefahrstoffe, Biostoffe, Heben, Stehen – Hinweis je Baustein</t>
  </si>
  <si>
    <t xml:space="preserve">Mutterschutz</t>
  </si>
  <si>
    <t xml:space="preserve">Bausteine mit Mutterschutzrelevanz kennzeichnen (z. B. Feuchtarbeit nein, Friseurchemikalien/Biostoffe ja).</t>
  </si>
  <si>
    <t xml:space="preserve">§§ 9–11 MuSchG</t>
  </si>
  <si>
    <t xml:space="preserve">—</t>
  </si>
  <si>
    <t xml:space="preserve">Kennzahl</t>
  </si>
  <si>
    <t xml:space="preserve">Fundstelle</t>
  </si>
  <si>
    <t xml:space="preserve">R 9 (Friseur, Boden)</t>
  </si>
  <si>
    <t xml:space="preserve">BGW-Branchenhilfe; ASR A1.5 Anh. 2 nennt Friseursalons nicht ausdrücklich</t>
  </si>
  <si>
    <t xml:space="preserve">Fundstelle präzisieren</t>
  </si>
  <si>
    <t xml:space="preserve">R 12 Gastroküche / Spülraum (fehlt im Baustein)</t>
  </si>
  <si>
    <t xml:space="preserve">ASR A1.5 Anh. 2; BGN ASI 4.40</t>
  </si>
  <si>
    <t xml:space="preserve">ergänzen</t>
  </si>
  <si>
    <t xml:space="preserve">100 m³/h Frischluft je Mitarbeiter</t>
  </si>
  <si>
    <t xml:space="preserve">750 lx Kosmetik</t>
  </si>
  <si>
    <t xml:space="preserve">BGW-Empfehlung; ASR A3.4 Anh. 3 ohne Kosmetikwert (Haarpflege 12.1: 500 lx)</t>
  </si>
  <si>
    <t xml:space="preserve">Quelle ändern</t>
  </si>
  <si>
    <t xml:space="preserve">300 lx Verkauf / 500 lx Büro / 500 lx Kasse</t>
  </si>
  <si>
    <t xml:space="preserve">ASR A3.4 Anh. 3 Nr. 24.1, 4.2, 24.2</t>
  </si>
  <si>
    <t xml:space="preserve">20 °C / 26 °C</t>
  </si>
  <si>
    <t xml:space="preserve">ASR A3.5 Tab. 1, Nr. 4.4 (Stufen 26/30/35 °C)</t>
  </si>
  <si>
    <t xml:space="preserve">6 LE bis 50 m²</t>
  </si>
  <si>
    <t xml:space="preserve">ASR A2.2 Tab. 3</t>
  </si>
  <si>
    <t xml:space="preserve">Feuerlöscher-Prüfung alle 2 Jahre</t>
  </si>
  <si>
    <t xml:space="preserve">B-009, B-070</t>
  </si>
  <si>
    <t xml:space="preserve">ASR A2.2</t>
  </si>
  <si>
    <t xml:space="preserve">Fettbrand: bis 50 l / 50–100 l / &gt; 100 l, Reserve 25 %</t>
  </si>
  <si>
    <t xml:space="preserve">BGN ASI 2.15 Nr. 4</t>
  </si>
  <si>
    <t xml:space="preserve">korrigieren</t>
  </si>
  <si>
    <t xml:space="preserve">Feuchtarbeit &lt; 4 Std., angestrebt &lt; 2 Std.</t>
  </si>
  <si>
    <t xml:space="preserve">TRGS 530 Nr. 5.3 Abs. 2</t>
  </si>
  <si>
    <t xml:space="preserve">Feuchtarbeit Vorsorge: &gt; 2 Std. Angebot, ≥ 4 Std. Pflicht</t>
  </si>
  <si>
    <t xml:space="preserve">B-005, B-037, B-107</t>
  </si>
  <si>
    <t xml:space="preserve">ArbMedVV Anh. Teil 1 Abs. 2 Nr. 2e / Abs. 1 Nr. 2a</t>
  </si>
  <si>
    <t xml:space="preserve">Mehlstaub 4 mg/m³</t>
  </si>
  <si>
    <t xml:space="preserve">ArbMedVV Anh. Teil 1 Abs. 1 Nr. 2j / Abs. 2 Nr. 2j</t>
  </si>
  <si>
    <t xml:space="preserve">Schweißrauch 3 mg/m³ (neu)</t>
  </si>
  <si>
    <t xml:space="preserve">fehlt (Kfz)</t>
  </si>
  <si>
    <t xml:space="preserve">ArbMedVV Anh. Teil 1 Abs. 1 Nr. 2b / Abs. 2 Nr. 2f</t>
  </si>
  <si>
    <t xml:space="preserve">Hartholzstaub</t>
  </si>
  <si>
    <t xml:space="preserve">ArbMedVV Anh. Teil 1 Abs. 1 Nr. 1; TRGS 553 (AGW Holzstaub 2 mg/m³)</t>
  </si>
  <si>
    <t xml:space="preserve">Lärm 80/85 dB(A); 135/137 dB(C)</t>
  </si>
  <si>
    <t xml:space="preserve">B-039, B-046, B-083, B-134</t>
  </si>
  <si>
    <t xml:space="preserve">LärmVibrationsArbSchV § 6; ArbMedVV Anh. Teil 3</t>
  </si>
  <si>
    <t xml:space="preserve">UV im Freien ≥ 1 Std./Tag (neu)</t>
  </si>
  <si>
    <t xml:space="preserve">B-050, B-101</t>
  </si>
  <si>
    <t xml:space="preserve">ArbMedVV Anh. Teil 3 Abs. 2; AMR 13.3</t>
  </si>
  <si>
    <t xml:space="preserve">RCD ≤ 30 mA für Steckdosen bis 32 A (Baustelle)</t>
  </si>
  <si>
    <t xml:space="preserve">DGUV Information 203-006; DIN VDE 0100-704</t>
  </si>
  <si>
    <t xml:space="preserve">Prüffristen ortsveränderlich 6 Mon. / Baustelle 3 Mon. / max. 1 bzw. 2 Jahre bei Fehlerquote &lt; 2 %</t>
  </si>
  <si>
    <t xml:space="preserve">B-188–B-191, B-025</t>
  </si>
  <si>
    <t xml:space="preserve">DGUV V3 DA zu § 5 Tab. 1B</t>
  </si>
  <si>
    <t xml:space="preserve">Anlagen 4 Jahre; Gruppe 700: 1 Jahr; RCD nichtstationär (EFK) 1 Monat</t>
  </si>
  <si>
    <t xml:space="preserve">ELEKTRO_FRISTEN</t>
  </si>
  <si>
    <t xml:space="preserve">DGUV V3 DA zu § 5 Tab. 1A</t>
  </si>
  <si>
    <t xml:space="preserve">RCD Prüftaste: stationär 6 Monate, nichtstationär arbeitstäglich („unsicher“)</t>
  </si>
  <si>
    <t xml:space="preserve">DGUV V3 DA zu § 5 Tab. 1A; Herstellerangaben können abweichen</t>
  </si>
  <si>
    <t xml:space="preserve">bestätigt – Markierung „unsicher“ kann entfallen</t>
  </si>
  <si>
    <t xml:space="preserve">Seitenschutz ab 1,00 m / 2,00 m</t>
  </si>
  <si>
    <t xml:space="preserve">Anlegewinkel 65–75°, 1 m Überstand</t>
  </si>
  <si>
    <t xml:space="preserve">Arbeitsfläche 160 × 80 cm</t>
  </si>
  <si>
    <t xml:space="preserve">ASR A6 Nr. 6.3.10</t>
  </si>
  <si>
    <t xml:space="preserve">bestätigt (Höhenverstellbarkeit keine Pflicht)</t>
  </si>
  <si>
    <t xml:space="preserve">Ersthelfer: 2–20 → 1; &gt; 20: 5 % / 10 %; Fortbildung 2 Jahre; Doku 5 Jahre</t>
  </si>
  <si>
    <t xml:space="preserve">B-071, Regelwert E.53</t>
  </si>
  <si>
    <t xml:space="preserve">§§ 24 Abs. 6, 26 DGUV Vorschrift 1</t>
  </si>
  <si>
    <t xml:space="preserve">ergänzen (10 %)</t>
  </si>
  <si>
    <t xml:space="preserve">Jugendliche: 8 Std./40 Std.; Bäckerei ab 5 bzw. 4 Uhr</t>
  </si>
  <si>
    <t xml:space="preserve">B-095, B-114</t>
  </si>
  <si>
    <t xml:space="preserve">§§ 8, 14 Abs. 2 Nr. 4, Abs. 3 JArbSchG</t>
  </si>
  <si>
    <t xml:space="preserve">Nachtarbeit: Untersuchung alle 3 Jahre, ab 50 jährlich</t>
  </si>
  <si>
    <t xml:space="preserve">B-095 (fehlt)</t>
  </si>
  <si>
    <t xml:space="preserve">§ 6 Abs. 3 ArbZG</t>
  </si>
  <si>
    <t xml:space="preserve">Abscheider-Reinigung spätestens 14 Tage</t>
  </si>
  <si>
    <t xml:space="preserve">DGUV Regel 110-003 Abschn. 3.3.3 – nicht verifiziert</t>
  </si>
  <si>
    <t xml:space="preserve">Sonnenschutz LSF 30, alle 2 Std.</t>
  </si>
  <si>
    <t xml:space="preserve">Befund</t>
  </si>
  <si>
    <t xml:space="preserve">Empfehlung</t>
  </si>
  <si>
    <t xml:space="preserve">Priorität</t>
  </si>
  <si>
    <t xml:space="preserve">Gliederung nach § 5 Abs. 3 Nr. 1–6 ArbSchG + „Sonstige“ ist zulässig.</t>
  </si>
  <si>
    <t xml:space="preserve">Unterpunkte in „Sonstige“ fest vorgeben: Brand- und Explosionsgefährdung, elektrische Gefährdung, Notfallorganisation (Erste Hilfe, Flucht). Alternativ die 11 Gefährdungsfaktoren der GDA/BAuA als Raster.</t>
  </si>
  <si>
    <t xml:space="preserve">GDA-Leitlinie Gefährdungsbeurteilung; BAuA-Handbuch</t>
  </si>
  <si>
    <t xml:space="preserve">Spalten Gefährdung / Risiko / Maßnahmen / Wer–bis wann / Erledigt am reichen für eine BG-Besichtigung im Grundsatz.</t>
  </si>
  <si>
    <t xml:space="preserve">Je Maßnahme zusätzlich „Wirksamkeit geprüft am / von“ (heute nur einmal am Ende). Optional „Risiko nach Maßnahme“.</t>
  </si>
  <si>
    <t xml:space="preserve">§ 3 Abs. 1, § 6 ArbSchG</t>
  </si>
  <si>
    <t xml:space="preserve">Abschnitt zu Art, Umfang und Fristen der Prüfungen von Arbeitsmitteln fehlt.</t>
  </si>
  <si>
    <t xml:space="preserve">Tabelle „Prüfungen“: Arbeitsmittel, Prüfart, Frist, befähigte Person – verknüpft mit Prüfprotokoll und Katalog.</t>
  </si>
  <si>
    <t xml:space="preserve">§ 3 Abs. 6 BetrSichV</t>
  </si>
  <si>
    <t xml:space="preserve">Personengruppen fehlen im Kopf.</t>
  </si>
  <si>
    <t xml:space="preserve">Feld „Besonders schutzbedürftige Personen“: Jugendliche, Schwangere/Stillende, Leiharbeit, Fremdfirmen, Menschen mit Behinderung.</t>
  </si>
  <si>
    <t xml:space="preserve">§ 4 Nr. 6 ArbSchG</t>
  </si>
  <si>
    <t xml:space="preserve">Hilfetext STOP nennt Substitution nicht.</t>
  </si>
  <si>
    <t xml:space="preserve">„Substitution vor technisch vor organisatorisch vor persönlich (STOP)“ – mit Beispiel.</t>
  </si>
  <si>
    <t xml:space="preserve">§ 4 ArbSchG; § 7 Abs. 3 GefStoffV</t>
  </si>
  <si>
    <t xml:space="preserve">Risiko überall „mittel“ vorbelegt (siehe D).</t>
  </si>
  <si>
    <t xml:space="preserve">Feld leer starten, Pflichtauswahl.</t>
  </si>
  <si>
    <t xml:space="preserve">Mutterschutz: drei Ergebnisse und Hinweise § 10 Abs. 2, § 14 Abs. 2, § 27 MuSchG korrekt.</t>
  </si>
  <si>
    <t xml:space="preserve">Hinweis ergänzen: bei Gefahrstoffen, Biostoffen, Lärm, Heben die Abschnitte §§ 9–12 MuSchG prüfen; Ergebnis „keine Schutzmaßnahmen“ bei diesen Bausteinen warnen (wie geplant).</t>
  </si>
  <si>
    <t xml:space="preserve">§§ 10, 11 MuSchG</t>
  </si>
  <si>
    <t xml:space="preserve">Aufbau gut (Anlass, Sprache, Themen, Teilnahmeliste, nächster Termin).</t>
  </si>
  <si>
    <t xml:space="preserve">Feld „Verständnis geprüft durch (Fragen/Test)“; Feld „Unterweisung anhand Betriebsanweisung Nr.“</t>
  </si>
  <si>
    <t xml:space="preserve">DGUV Information 211-005</t>
  </si>
  <si>
    <t xml:space="preserve">Eingetippter Name als Bestätigung.</t>
  </si>
  <si>
    <t xml:space="preserve">Für Gefahrstoffe/Biostoffe Unterschrift zwingend (§ 14 Abs. 2 GefStoffV, § 14 Abs. 2 BioStoffV) – App muss Papierunterschrift oder handschriftliche Signatur am Gerät verlangen; sonst formfrei, aber Beweiswert gering. Rechtliche Bewertung elektronischer Formen beim Anwalt.</t>
  </si>
  <si>
    <t xml:space="preserve">§ 14 Abs. 2 GefStoffV (Stand 12/2025 nachgelesen)</t>
  </si>
  <si>
    <t xml:space="preserve">Gefahrstoff-Unterweisung muss mündlich und arbeitsplatzbezogen sein.</t>
  </si>
  <si>
    <t xml:space="preserve">Hinweis im Hilfetext; reine App-/E-Learning-Unterweisung dafür nicht ausreichend.</t>
  </si>
  <si>
    <t xml:space="preserve">Gliederung entspricht TRGS 555 Nr. 3.2.2–3.2.8.</t>
  </si>
  <si>
    <t xml:space="preserve">Felder Signalwort und Piktogramme ergänzen (TRGS 555 Nr. 3.2.4 Abs. 3: „sollten ergänzend“ – ohne zulässig, aber üblich und erwartet). Feld „Beschäftigungsbeschränkungen“ (Jugendliche, Schwangere).</t>
  </si>
  <si>
    <t xml:space="preserve">TRGS 555 Nr. 3.1, 3.2</t>
  </si>
  <si>
    <t xml:space="preserve">Bausteine teils unbestimmt („ausreichend“, „viel Wasser“).</t>
  </si>
  <si>
    <t xml:space="preserve">Nach TRGS 555 Nr. 3.1 Abs. 9 konkret mit „müssen / dürfen nicht“ formulieren (B-157, B-164, B-174).</t>
  </si>
  <si>
    <t xml:space="preserve">TRGS 555 Nr. 3.1 Abs. 9</t>
  </si>
  <si>
    <t xml:space="preserve">Keine Vorlage für Maschinen und Biostoffe.</t>
  </si>
  <si>
    <t xml:space="preserve">Vorlage Betriebsanweisung Arbeitsmittel (Aufschnittmaschine, Knetmaschine, Kreissäge, Hebebühne, Reifenmontiermaschine) und Biostoffe (Praxis, Kosmetik).</t>
  </si>
  <si>
    <t xml:space="preserve">§ 12 Abs. 2 BetrSichV; § 14 Abs. 1 BioStoffV</t>
  </si>
  <si>
    <t xml:space="preserve">Gefahrstoffverzeichnis</t>
  </si>
  <si>
    <t xml:space="preserve">Fünf Pflichtangaben vorhanden.</t>
  </si>
  <si>
    <t xml:space="preserve">Fundstelle § 6 Abs. 12 nach GefStoffV-Novelle (in Kraft 5.12.2024) gegenprüfen. Optional: Spalten „Substitution geprüft (Ergebnis)“, „Betriebsanweisung Nr.“, „krebserzeugend/reproduktionstoxisch 1A/1B“ (Expositionsverzeichnis § 10a).</t>
  </si>
  <si>
    <t xml:space="preserve">§ 6 Abs. 12, § 10a GefStoffV n. F.</t>
  </si>
  <si>
    <t xml:space="preserve">Mengenbereiche (eigene Formulierung).</t>
  </si>
  <si>
    <t xml:space="preserve">Brauchbar; Bezug klarstellen: „im Betrieb vorrätig (Lagermenge)“ oder „Jahresverbrauch“.</t>
  </si>
  <si>
    <t xml:space="preserve">Spalten passend; Musterzeilen nur Friseur.</t>
  </si>
  <si>
    <t xml:space="preserve">Musterzeilen für Kosmetik/Nagel, Gastronomie, Gebäudereinigung, Praxis, Kfz, Bäckerei, Bau; Spalte „Händedesinfektion“ (Praxis/Kosmetik); Spalte „Handschuh: Material/Norm“.</t>
  </si>
  <si>
    <t xml:space="preserve">Prüfprotokoll elektrische Geräte</t>
  </si>
  <si>
    <t xml:space="preserve">Spalten SK, RPE, RISO, IPE/IB, Ergebnis, nächste Prüfung, Prüfgerät, Unterschrift vorhanden.</t>
  </si>
  <si>
    <t xml:space="preserve">Ergänzen: Grenzwert-Zeile (z. B. RPE ≤ 0,3 Ω bis 5 m, RISO ≥ 1 MΩ SK I / ≥ 2 MΩ SK II, IPE ≤ 3,5 mA, IB ≤ 0,5 mA – von EFK bestätigen), Messverfahren, Kalibrierdatum Prüfgerät, Qualifikation (EFK / EuP unter Leitung EFK), Prüfplakette; „Mangel – nicht verwenden“ drucken (T-95).</t>
  </si>
  <si>
    <t xml:space="preserve">DIN EN 50678/50699; DGUV V3</t>
  </si>
  <si>
    <t xml:space="preserve">App berechnet nächsten Termin aus Richtwert.</t>
  </si>
  <si>
    <t xml:space="preserve">Zulässig als Vorschlag, editierbar; Frist legt der Arbeitgeber in der GB fest. Keine automatische Verlängerung bis 1/2 Jahre ohne dokumentierte Fehlerquote &lt; 2 %. Im Beispiel-PDF ist „Nächste Prüfung“ = Prüfdatum – Berechnung prüfen.</t>
  </si>
  <si>
    <t xml:space="preserve">§ 3 Abs. 6 BetrSichV; DGUV V3 DA Tab. 1B</t>
  </si>
  <si>
    <t xml:space="preserve">ID</t>
  </si>
  <si>
    <t xml:space="preserve">Titel</t>
  </si>
  <si>
    <t xml:space="preserve">Kurz</t>
  </si>
  <si>
    <t xml:space="preserve">Auslöser (gekürzt)</t>
  </si>
  <si>
    <t xml:space="preserve">Rechtsgrundlage</t>
  </si>
  <si>
    <t xml:space="preserve">Sanktion</t>
  </si>
  <si>
    <t xml:space="preserve">Schwere</t>
  </si>
  <si>
    <t xml:space="preserve">Korrektur / Befund</t>
  </si>
  <si>
    <t xml:space="preserve">Bezug Prüfliste</t>
  </si>
  <si>
    <t xml:space="preserve">D.42</t>
  </si>
  <si>
    <t xml:space="preserve">personal.arbeitszeit_aufzeichnung</t>
  </si>
  <si>
    <t xml:space="preserve">Arbeitszeit aufzeichnen</t>
  </si>
  <si>
    <t xml:space="preserve">Du zeichnest die Arbeitszeit deiner Beschäftigten auf.</t>
  </si>
  <si>
    <t xml:space="preserve">Du beschäftigst mindestens eine Person.</t>
  </si>
  <si>
    <t xml:space="preserve">§ 3 Abs. 2 Nr. 1 ArbSchG (BAG, 13.9.2022 – 1 ABR 22/21); § 16 Abs. 2 ArbZG</t>
  </si>
  <si>
    <t xml:space="preserve">Die Folgen sind noch nicht fachlich erfasst.</t>
  </si>
  <si>
    <t xml:space="preserve">Fundstelle BAG 13.9.2022 – 1 ABR 22/21 korrekt.</t>
  </si>
  <si>
    <t xml:space="preserve">Sanktion offen (RA).</t>
  </si>
  <si>
    <t xml:space="preserve">personal.arbeitszeit_neuregelung</t>
  </si>
  <si>
    <t xml:space="preserve">Elektronische Arbeitszeiterfassung (geplante Neuregelung)</t>
  </si>
  <si>
    <t xml:space="preserve">Geplant ist eine Pflicht zur elektronischen Arbeitszeiterfassung, mit Übergangsfristen nach Betriebsgröße.</t>
  </si>
  <si>
    <t xml:space="preserve">{"all":[{"feld":"abgeleitet.hat_beschaeftigte","op":"==","wert":true,"label":{"de":"Du beschäftigst mindestens eine Person."}},{"feld":"profil.beschaeftigte.gesamt","op":"&gt;","wert":10,"label":{"de":"Du beschäftigst mehr als 10 Personen."}}]}</t>
  </si>
  <si>
    <t xml:space="preserve">Referentenentwurf zur Änderung des ArbZG (BMAS, Juni 2026)</t>
  </si>
  <si>
    <t xml:space="preserve">Noch keine – geplante Regelung.</t>
  </si>
  <si>
    <t xml:space="preserve">Entwurfsstatus beobachten – nicht Gegenstand der sicherheitstechnischen Prüfung.</t>
  </si>
  <si>
    <t xml:space="preserve">personal.nachtarbeit</t>
  </si>
  <si>
    <t xml:space="preserve">Nachtarbeit: Untersuchung ermöglichen und ausgleichen</t>
  </si>
  <si>
    <t xml:space="preserve">Wer bei dir regelmäßig nachts arbeitet, kann sich vor Beginn und dann regelmäßig auf deine Kosten arbeitsmedizinisch untersuchen lassen und bekommt einen Ausgleich durch freie Tage oder Zuschlag.</t>
  </si>
  <si>
    <t xml:space="preserve">{"all":[{"feld":"abgeleitet.hat_beschaeftigte","op":"==","wert":true,"label":{"de":"Du beschäftigst mindestens eine Person."}},{"feld":"profil.arbeitszeit.nachtarbeit","op":"==","wert":true,"label":{"de":"Bei dir arbeitet jemand regelmäßig nachts."}}]}</t>
  </si>
  <si>
    <t xml:space="preserve">§ 2 Abs. 3–5 ArbZG; § 6 ArbZG</t>
  </si>
  <si>
    <t xml:space="preserve">Kurztext: „vor Beginn und danach alle 3 Jahre, ab 50 Jahren jährlich“ (§ 6 Abs. 3 ArbZG); Nachtarbeitnehmer-Definition § 2 Abs. 5 (Wechselschicht oder ≥ 48 Tage/Jahr).</t>
  </si>
  <si>
    <t xml:space="preserve">Auslöser „regelmäßig nachts“ an § 2 Abs. 5 ArbZG ausrichten.</t>
  </si>
  <si>
    <t xml:space="preserve">D.43</t>
  </si>
  <si>
    <t xml:space="preserve">personal.mutterschutz_gefaehrdungsbeurteilung</t>
  </si>
  <si>
    <t xml:space="preserve">Mutterschutz in der Gefährdungsbeurteilung</t>
  </si>
  <si>
    <t xml:space="preserve">Unabhängig davon, ob jemand schwanger ist, beurteilst du die Arbeitsplätze auch nach dem Mutterschutzgesetz.</t>
  </si>
  <si>
    <t xml:space="preserve">§ 10 MuSchG</t>
  </si>
  <si>
    <t xml:space="preserve">Frist wie E.50 bestätigt (anlassunabhängig).</t>
  </si>
  <si>
    <t xml:space="preserve">personal.schwangerschaft_mitteilung</t>
  </si>
  <si>
    <t xml:space="preserve">Schwangerschaft der Aufsichtsbehörde mitteilen</t>
  </si>
  <si>
    <t xml:space="preserve">Teilt dir eine Beschäftigte ihre Schwangerschaft mit, informierst du die Aufsichtsbehörde.</t>
  </si>
  <si>
    <t xml:space="preserve">Eine Beschäftigte hat dir ihre Schwangerschaft mitgeteilt.</t>
  </si>
  <si>
    <t xml:space="preserve">§ 27 MuSchG</t>
  </si>
  <si>
    <t xml:space="preserve">Bußgeld bis 5.000 € (§ 32 Abs. 1 Nr. 11, Abs. 2 MuSchG).</t>
  </si>
  <si>
    <t xml:space="preserve">„unverzüglich“ (§ 27 Abs. 1 MuSchG) korrekt; Termin am Tag der Mitteilung vertretbar.</t>
  </si>
  <si>
    <t xml:space="preserve">D.44</t>
  </si>
  <si>
    <t xml:space="preserve">personal.jugend_nachuntersuchung</t>
  </si>
  <si>
    <t xml:space="preserve">Ärztliche Nachuntersuchung Jugendlicher nach einem Jahr</t>
  </si>
  <si>
    <t xml:space="preserve">Ein Jahr nach Beginn lässt du dir von Jugendlichen die Bescheinigung über die erste Nachuntersuchung vorlegen.</t>
  </si>
  <si>
    <t xml:space="preserve">{"all":[{"feld":"profil.beschaeftigte.jugendlich","op":"&gt;=","wert":1,"label":{"de":"Du beschäftigst Jugendliche."}},{"ereignis":"einstellung","op":"eingetreten","label":{"de":"Du stellst jemanden ein."}}]}</t>
  </si>
  <si>
    <t xml:space="preserve">§ 33 JArbSchG</t>
  </si>
  <si>
    <t xml:space="preserve">Ohne Bescheinigung nach 14 Monaten darfst du die jugendliche Person nicht weiter beschäftigen (§ 33 Abs. 3 JArbSchG).</t>
  </si>
  <si>
    <t xml:space="preserve">Bezug ist die Aufnahme der ersten Beschäftigung (nicht jede Einstellung). Erinnerung nach 9 Monaten (Hinweispflicht § 33 Abs. 1 Satz 2), Bescheinigung nach 12 Monaten, Verbot ab 14 Monaten (§ 33 Abs. 3). Erstuntersuchung § 32 (≤ 14 Monate vor Beginn) als eigene Pflicht je Einstellung. Hinweis: BR-Drs. 735/25 (NRW) will §§ 32/33 ändern – nicht in Kraft.</t>
  </si>
  <si>
    <t xml:space="preserve">personal.jugendarbeitsschutz</t>
  </si>
  <si>
    <t xml:space="preserve">Jugendarbeitsschutz beachten</t>
  </si>
  <si>
    <t xml:space="preserve">Für Jugendliche gelten Erstuntersuchung, Arbeitszeitgrenzen und eine Aushangpflicht.</t>
  </si>
  <si>
    <t xml:space="preserve">Du beschäftigst Jugendliche.</t>
  </si>
  <si>
    <t xml:space="preserve">JArbSchG</t>
  </si>
  <si>
    <t xml:space="preserve">Bußgeld bis 30.000 € (§ 58 Abs. 1, 4 JArbSchG).</t>
  </si>
  <si>
    <t xml:space="preserve">Aushang § 47 und Arbeitszeitaushang § 48 JArbSchG nennen.</t>
  </si>
  <si>
    <t xml:space="preserve">D.46</t>
  </si>
  <si>
    <t xml:space="preserve">personal.fuehrerscheinkontrolle</t>
  </si>
  <si>
    <t xml:space="preserve">Führerscheine der Fahrerinnen und Fahrer kontrollieren</t>
  </si>
  <si>
    <t xml:space="preserve">Lässt du Beschäftigte mit Firmenfahrzeugen fahren, prüfst du vorher und danach regelmäßig, ob sie die nötige Fahrerlaubnis haben, und hältst das fest.</t>
  </si>
  <si>
    <t xml:space="preserve">{"all":[{"feld":"abgeleitet.hat_beschaeftigte","op":"==","wert":true,"label":{"de":"Du beschäftigst mindestens eine Person."}},{"feld":"profil.fahrzeuge.anzahl","op":"&gt;=","wert":1,"label":{"de":"Du nutzt Firmenfahrzeuge."}}]}</t>
  </si>
  <si>
    <t xml:space="preserve">§ 21 Abs. 1 Nr. 2 StVG</t>
  </si>
  <si>
    <t xml:space="preserve">Freiheitsstrafe bis zu einem Jahr oder Geldstrafe für den Halter, der das Fahren ohne Fahrerlaubnis anordnet oder zulässt (§ 21 Abs. 1 Nr. 2 StVG).</t>
  </si>
  <si>
    <t xml:space="preserve">Halbjährlich ist Praxis, keine Rechtsfrist – so kennzeichnen.</t>
  </si>
  <si>
    <t xml:space="preserve">D.48</t>
  </si>
  <si>
    <t xml:space="preserve">personal.aushangpflichtige_gesetze</t>
  </si>
  <si>
    <t xml:space="preserve">Aushangpflichtige Gesetze aushängen</t>
  </si>
  <si>
    <t xml:space="preserve">Je nach Belegschaft hängst du bestimmte Gesetze im Betrieb aus, zum Beispiel ArbZG, AGG, MuSchG und JArbSchG.</t>
  </si>
  <si>
    <t xml:space="preserve">ArbZG; AGG; MuSchG; JArbSchG</t>
  </si>
  <si>
    <t xml:space="preserve">niedrig</t>
  </si>
  <si>
    <t xml:space="preserve">Liste je Belegschaft: ArbZG (§ 16 Abs. 1), AGG + Beschwerdestelle (§ 12 Abs. 5), MuSchG ab regelmäßig mehr als 3 Frauen (§ 26), JArbSchG ab 1 Jugendlichem (§§ 47, 48); dazu Unfallverhütungsvorschriften zugänglich (§ 12 DGUV V1) und Erste-Hilfe-Aushang.</t>
  </si>
  <si>
    <t xml:space="preserve">E.50</t>
  </si>
  <si>
    <t xml:space="preserve">arbeitsschutz.gefaehrdungsbeurteilung</t>
  </si>
  <si>
    <t xml:space="preserve">Gefährdungsbeurteilung erstellen</t>
  </si>
  <si>
    <t xml:space="preserve">Bevor jemand bei dir arbeitet, schreibst du auf, welche Gefahren es an den Arbeitsplätzen gibt und was du dagegen tust.</t>
  </si>
  <si>
    <t xml:space="preserve">{"all":[{"feld":"profil.beschaeftigte.gesamt","op":"&gt;=","wert":1,"label":{"de":"Du beschäftigst mindestens eine Person."}}]}</t>
  </si>
  <si>
    <t xml:space="preserve">§ 5 ArbSchG; § 6 ArbSchG</t>
  </si>
  <si>
    <t xml:space="preserve">Fehlt die Dokumentation oder ist sie unrichtig, unvollständig oder nicht rechtzeitig erstellt, droht direkt ein Bußgeld bis 5.000 € (§ 9 Abs. 1 Nr. 1 ArbStättV in Verbindung mit § 25 Abs. 1 Nr. 1 ArbSchG; ebenso § 22 BetrSichV und § 22 GefStoffV). Bei Arbeitsunfällen besteht außerdem ein Haftungsrisiko.</t>
  </si>
  <si>
    <t xml:space="preserve">Auslöser, Frist und Sanktion plausibel (§ 9 Abs. 1 Nr. 1 ArbStättV i. V. m. § 25 Abs. 1 Nr. 1, Abs. 2 ArbSchG; § 22 BetrSichV; § 22 GefStoffV – Nummern gegenprüfen). Anlässe für Neuauslösung wie B-117.</t>
  </si>
  <si>
    <t xml:space="preserve">K-033–K-037</t>
  </si>
  <si>
    <t xml:space="preserve">E.51</t>
  </si>
  <si>
    <t xml:space="preserve">arbeitsschutz.erstunterweisung</t>
  </si>
  <si>
    <t xml:space="preserve">Vor Arbeitsbeginn unterweisen</t>
  </si>
  <si>
    <t xml:space="preserve">Jede neue Person unterweist du vor dem ersten Arbeitstag zu den Gefahren und Schutzmaßnahmen.</t>
  </si>
  <si>
    <t xml:space="preserve">Du stellst jemanden ein.</t>
  </si>
  <si>
    <t xml:space="preserve">§ 12 ArbSchG; DGUV Vorschrift 1</t>
  </si>
  <si>
    <t xml:space="preserve">Text: „vor Aufnahme der Tätigkeit“ – rechtlich genügt der erste Arbeitstag vor Arbeitsbeginn; Erinnerung am Vortag als App-Logik ok, aber nicht als Rechtsfrist darstellen (G-14/K-020). Sanktion: § 12 ArbSchG nicht unmittelbar bußgeldbewehrt; Spezialnormen GefStoffV/BioStoffV/BetrSichV § 22 – gegenprüfen.</t>
  </si>
  <si>
    <t xml:space="preserve">arbeitsschutz.unterweisung_jugendliche</t>
  </si>
  <si>
    <t xml:space="preserve">Jugendliche halbjährlich unterweisen</t>
  </si>
  <si>
    <t xml:space="preserve">Beschäftigte unter 18 unterweist du vor Beginn und danach mindestens alle sechs Monate über Unfall- und Gesundheitsgefahren.</t>
  </si>
  <si>
    <t xml:space="preserve">§ 29 JArbSchG</t>
  </si>
  <si>
    <t xml:space="preserve">Frist je Jugendlichem führen (nicht betriebsweit); Basis = letzte Unterweisung dieser Person.</t>
  </si>
  <si>
    <t xml:space="preserve">K-045</t>
  </si>
  <si>
    <t xml:space="preserve">arbeitsschutz.unterweisung_wiederholen</t>
  </si>
  <si>
    <t xml:space="preserve">Unterweisung jährlich wiederholen</t>
  </si>
  <si>
    <t xml:space="preserve">Mindestens einmal im Jahr wiederholst du die Unterweisung.</t>
  </si>
  <si>
    <t xml:space="preserve">„mindestens einmal jährlich“ (§ 4 Abs. 1 DGUV V1) – Umsetzung „ein Jahr nach letzter“ ok.</t>
  </si>
  <si>
    <t xml:space="preserve">Rechtsgrundlage um § 4 Abs. 1 DGUV V1 präzisieren.</t>
  </si>
  <si>
    <t xml:space="preserve">E.52</t>
  </si>
  <si>
    <t xml:space="preserve">arbeitsschutz.fahrer_unterweisung</t>
  </si>
  <si>
    <t xml:space="preserve">Fahrerinnen und Fahrer beauftragen, unterweisen und Ladung sichern</t>
  </si>
  <si>
    <t xml:space="preserve">Firmenfahrzeuge lässt du nur von geeigneten, unterwiesenen Personen fahren, die du ausdrücklich beauftragst – und sorgst dafür, dass die Ladung gesichert ist.</t>
  </si>
  <si>
    <t xml:space="preserve">§ 35 DGUV Vorschrift 70; § 22 Abs. 1 StVO</t>
  </si>
  <si>
    <t xml:space="preserve">§ 35 DGUV V70 verlangt Bestimmung durch Unternehmer; Schriftform empfohlen, nicht vorgeschrieben.</t>
  </si>
  <si>
    <t xml:space="preserve">arbeitsschutz.fasi_betriebsarzt</t>
  </si>
  <si>
    <t xml:space="preserve">Fachkraft für Arbeitssicherheit und Betriebsarzt</t>
  </si>
  <si>
    <t xml:space="preserve">Betriebe mit Beschäftigten brauchen eine sicherheitstechnische und betriebsärztliche Betreuung – Kleinbetriebe auch im Unternehmermodell.</t>
  </si>
  <si>
    <t xml:space="preserve">ASiG; DGUV Vorschrift 2</t>
  </si>
  <si>
    <t xml:space="preserve">Text: „Ab dem ersten Beschäftigten Pflicht. Wahl: Regelbetreuung (DGUV V2 Anlage 1 – Grundbetreuung + anlassbezogen) oder, je nach BG, alternative bedarfsorientierte Betreuung (Unternehmermodell; meist bis 50 Beschäftigte, z. B. BGN &gt; 10 bis 50, darunter Kompetenzzentren-Modell). Im Unternehmermodell: Teilnahme an Schulungen und anlassbezogene Betreuung.“ Sanktion: Bußgeldvorschrift der DGUV V2 i. V. m. § 209 Abs. 1 Nr. 1 SGB VII (bis 10.000 €) – Paragraf je BG prüfen. Schwere wieder „hoch“.</t>
  </si>
  <si>
    <t xml:space="preserve">Frage 13</t>
  </si>
  <si>
    <t xml:space="preserve">E.53</t>
  </si>
  <si>
    <t xml:space="preserve">arbeitsschutz.arbeitsmittel_pruefen</t>
  </si>
  <si>
    <t xml:space="preserve">Arbeitsmittel prüfen lassen</t>
  </si>
  <si>
    <t xml:space="preserve">Maschinen, Leitern, Hebebühnen, Druckbehälter und andere Arbeitsmittel lässt du regelmäßig durch eine befähigte Person prüfen und hältst das fest.</t>
  </si>
  <si>
    <t xml:space="preserve">{"all":[{"feld":"abgeleitet.hat_beschaeftigte","op":"==","wert":true,"label":{"de":"Du beschäftigst mindestens eine Person."}},{"feld":"profil.taetigkeit.branchen","op":"enthaelt_eines","wert":["handwerk","bau","gebaeudereinigung"],"label":{"de":"In deiner Branche arbeitet ihr mit Maschinen, Leitern</t>
  </si>
  <si>
    <t xml:space="preserve">§ 3 Abs. 6 BetrSichV; § 14 BetrSichV; §§ 15, 16 BetrSichV; Anhang 2 Abschnitt 4 BetrSichV; DGUV Grundsatz 308-002</t>
  </si>
  <si>
    <t xml:space="preserve">Bußgeld bis 5.000 €, wenn ein Arbeitsmittel nicht oder nicht rechtzeitig geprüft wird (§ 22 Abs. 1 Nr. 28 BetrSichV in Verbindung mit § 25 Abs. 1 Nr. 1, Abs. 2 ArbSchG).</t>
  </si>
  <si>
    <t xml:space="preserve">Auslöser auf alle Betriebe mit Beschäftigten erweitern (Leitern, Regale, Küchenmaschinen, Hebebühnen, Kompressoren, Schankanlagen); Kfz ausdrücklich. Druckbehälter-Schwellen (Anhang 2 Abschn. 4 BetrSichV) durch Sachverständigen bestätigen lassen.</t>
  </si>
  <si>
    <t xml:space="preserve">K-006–K-011</t>
  </si>
  <si>
    <t xml:space="preserve">arbeitsschutz.erste_hilfe</t>
  </si>
  <si>
    <t xml:space="preserve">Erste Hilfe und Brandschutz organisieren</t>
  </si>
  <si>
    <t xml:space="preserve">Ab 2 Versicherten brauchst du Ersthelfer, Verbandmaterial und ein Verbandbuch; außerdem Brandschutzhelfer.</t>
  </si>
  <si>
    <t xml:space="preserve">Du hast mindestens 2 Versicherte.</t>
  </si>
  <si>
    <t xml:space="preserve">DGUV Vorschrift 1; ASR A2.2</t>
  </si>
  <si>
    <t xml:space="preserve">Teilen: (1) Erste-Hilfe-Organisation ab 1 Beschäftigtem (Verbandkasten nach ASR A4.3, Notrufaushang, Dokumentation 5 Jahre); (2) Ersthelfer ab 2 anwesenden Versicherten (§ 26 Abs. 1 DGUV V1); (3) Brandschutzhelfer nach ASR A2.2 Nr. 7.3 (i. d. R. 5 %) zur Pflicht Feuerlöscher verschieben. „Versicherte“: Inhaber zählt nur, wenn selbst versichert – konservativ alle Anwesenden zählen. Fortbildung alle 2 Jahre.</t>
  </si>
  <si>
    <t xml:space="preserve">K-015–K-019; Regelwert E.53</t>
  </si>
  <si>
    <t xml:space="preserve">arbeitsschutz.fahrzeuge_pruefen</t>
  </si>
  <si>
    <t xml:space="preserve">Firmenfahrzeuge jährlich durch einen Sachkundigen prüfen lassen</t>
  </si>
  <si>
    <t xml:space="preserve">Fahrzeuge, die deine Beschäftigten fahren, lässt du mindestens einmal im Jahr durch einen Sachkundigen auf ihren betriebssicheren Zustand prüfen und hältst das fest.</t>
  </si>
  <si>
    <t xml:space="preserve">§ 57 DGUV V70 „bei Bedarf, mindestens jährlich“ korrekt; HU ersetzt die Prüfung nicht automatisch.</t>
  </si>
  <si>
    <t xml:space="preserve">E.54</t>
  </si>
  <si>
    <t xml:space="preserve">arbeitsschutz.dguv_v3</t>
  </si>
  <si>
    <t xml:space="preserve">Elektrische Geräte prüfen lassen</t>
  </si>
  <si>
    <t xml:space="preserve">Elektrische Geräte und Anlagen lässt du regelmäßig prüfen (DGUV Vorschrift 3).</t>
  </si>
  <si>
    <t xml:space="preserve">{"all":[{"feld":"abgeleitet.hat_beschaeftigte","op":"==","wert":true,"label":{"de":"Du beschäftigst mindestens eine Person."}},{"feld":"profil.arbeitsschutz.elektrische_geraete","op":"==","wert":true,"label":{"de":"Ihr nutzt elektrische Geräte im Betrieb."}}]}</t>
  </si>
  <si>
    <t xml:space="preserve">DGUV Vorschrift 3</t>
  </si>
  <si>
    <t xml:space="preserve">Fristen aus GB, Richtwerte Tab. 1A/1B (bestätigt).</t>
  </si>
  <si>
    <t xml:space="preserve">Sanktion: § 9 DGUV V3 i. V. m. § 209 SGB VII – Nummer gegenprüfen.</t>
  </si>
  <si>
    <t xml:space="preserve">arbeitsschutz.feuerloescher</t>
  </si>
  <si>
    <t xml:space="preserve">Feuerlöscher bereitstellen und prüfen lassen</t>
  </si>
  <si>
    <t xml:space="preserve">In deiner Arbeitsstätte stehen ausreichend Feuerlöscher bereit, die regelmäßig von einer sachkundigen Person geprüft werden.</t>
  </si>
  <si>
    <t xml:space="preserve">§ 4 Abs. 3 ArbStättV; ASR A2.2</t>
  </si>
  <si>
    <t xml:space="preserve">Prüfung „spätestens alle 2 Jahre“ (ASR A2.2) bestätigt.</t>
  </si>
  <si>
    <t xml:space="preserve">Brandschutzhelfer hierher verschieben.</t>
  </si>
  <si>
    <t xml:space="preserve">E.55</t>
  </si>
  <si>
    <t xml:space="preserve">arbeitsschutz.gefahrstoffe</t>
  </si>
  <si>
    <t xml:space="preserve">Gefahrstoffverzeichnis und Betriebsanweisungen</t>
  </si>
  <si>
    <t xml:space="preserve">Wenn ihr mit Gefahrstoffen arbeitet, führst du ein Verzeichnis und schreibst Betriebsanweisungen.</t>
  </si>
  <si>
    <t xml:space="preserve">{"all":[{"feld":"abgeleitet.hat_beschaeftigte","op":"==","wert":true,"label":{"de":"Du beschäftigst mindestens eine Person."}},{"feld":"profil.arbeitsschutz.gefahrstoffe","op":"==","wert":true,"label":{"de":"Ihr arbeitet mit Gefahrstoffen."}}]}</t>
  </si>
  <si>
    <t xml:space="preserve">GefStoffV</t>
  </si>
  <si>
    <t xml:space="preserve">Ausnahme bei ausschließlich geringer Gefährdung nennen; Unterweisung mündlich, jährlich, mit Unterschrift (§ 14 Abs. 2); Expositionsverzeichnis bei krebserzeugenden/reproduktionstoxischen Stoffen 1A/1B (§ 10a GefStoffV n. F.) als Unterpunkt bzw. eigene Pflicht.</t>
  </si>
  <si>
    <t xml:space="preserve">K-038–K-040</t>
  </si>
  <si>
    <t xml:space="preserve">E.56</t>
  </si>
  <si>
    <t xml:space="preserve">arbeitsschutz.arbeitsmedizinische_vorsorge</t>
  </si>
  <si>
    <t xml:space="preserve">Arbeitsmedizinische Vorsorge anbieten</t>
  </si>
  <si>
    <t xml:space="preserve">Du bietest arbeitsmedizinische Vorsorge an oder veranlasst sie – je nach Tätigkeit, etwa bei Bildschirmarbeit, Lärm, Feuchtarbeit, Mehlstaub oder Schweißrauch.</t>
  </si>
  <si>
    <t xml:space="preserve">ArbMedVV</t>
  </si>
  <si>
    <t xml:space="preserve">Anlässe mit Nummern: Feuchtarbeit &gt; 2 Std. Angebot / ≥ 4 Std. Pflicht; Mehlstaub ≤ / &gt; 4 mg/m³; Schweißrauch ≤ / &gt; 3 mg/m³; Hartholzstaub (Teil 1 Abs. 1 Nr. 1); Lärm 80/85 dB(A); Bildschirm (Teil 4); UV im Freien ≥ 1 Std.; Biostoffe Gesundheitsdienst (Teil 2 Abs. 1 Nr. 3). Vorsorgekartei § 3 Abs. 4. Fristen nach AMR 2.1 (Betriebsarzt).</t>
  </si>
  <si>
    <t xml:space="preserve">K-001–K-005; Frage 15</t>
  </si>
  <si>
    <t xml:space="preserve">E.57</t>
  </si>
  <si>
    <t xml:space="preserve">arbeitsschutz.unfallanzeige</t>
  </si>
  <si>
    <t xml:space="preserve">Arbeitsunfall der Berufsgenossenschaft anzeigen</t>
  </si>
  <si>
    <t xml:space="preserve">Ist jemand nach einem Arbeitsunfall mehr als drei Tage arbeitsunfähig, zeigst du den Unfall binnen drei Tagen der BG an, nachdem du davon erfahren hast.</t>
  </si>
  <si>
    <t xml:space="preserve">Es gab einen Arbeitsunfall.</t>
  </si>
  <si>
    <t xml:space="preserve">§ 193 Abs. 4 SGB VII</t>
  </si>
  <si>
    <t xml:space="preserve">Bußgeld bis 2.500 € (§ 209 SGB VII).</t>
  </si>
  <si>
    <t xml:space="preserve">Auslöser: Tod oder Arbeitsunfähigkeit von mehr als 3 Tagen (Unfalltag nicht mitgezählt), auch Wegeunfälle; Frist 3 Tage ab Kenntnis (§ 193 Abs. 4); tödliche und Massenunfälle sofort. Rechtsgrundlage „§ 193 Abs. 1, 4 SGB VII; UVAV“. Sanktion bis 2.500 € (§ 209 Abs. 1 Nr. 9, Abs. 3) bestätigt. Für alle Unfälle: Eintrag Verbandbuch (eigene Pflicht).</t>
  </si>
  <si>
    <t xml:space="preserve">T-21; K-041–K-044</t>
  </si>
  <si>
    <t xml:space="preserve">H.2</t>
  </si>
  <si>
    <t xml:space="preserve">branche.handwerk_gefaehrdung_gewerk</t>
  </si>
  <si>
    <t xml:space="preserve">Gefährdungsbeurteilung je Gewerk und Einsatzort ergänzen</t>
  </si>
  <si>
    <t xml:space="preserve">Im Handwerk ergänzt du die Gefährdungsbeurteilung um die Gefährdungen deines Gewerks – in der Werkstatt und bei Arbeiten beim Kunden.</t>
  </si>
  <si>
    <t xml:space="preserve">{"all":[{"feld":"profil.taetigkeit.branchen","op":"enthaelt","wert":"handwerk","label":{"de":"Dein Betrieb ist ein Handwerksbetrieb."}},{"feld":"abgeleitet.hat_beschaeftigte","op":"==","wert":true,"label":{"de":"Du beschäftigst mindestens eine Person."}}]}</t>
  </si>
  <si>
    <t xml:space="preserve">§§ 5, 6 ArbSchG</t>
  </si>
  <si>
    <t xml:space="preserve">H.3</t>
  </si>
  <si>
    <t xml:space="preserve">branche.beauty_hautschutzplan</t>
  </si>
  <si>
    <t xml:space="preserve">Hautschutzplan aushängen</t>
  </si>
  <si>
    <t xml:space="preserve">Für Tätigkeiten mit Feuchtarbeit oder hautbelastenden Stoffen legst du in einem Hautschutzplan Schutz, Reinigung und Pflege fest.</t>
  </si>
  <si>
    <t xml:space="preserve">{"all":[{"feld":"profil.taetigkeit.branchen","op":"enthaelt","wert":"beauty_kosmetik","label":{"de":"Dein Betrieb gehört zur Beauty- und Kosmetikbranche."}},{"feld":"abgeleitet.hat_beschaeftigte","op":"==","wert":true,"label":{"de":"Du beschäftigst mindestens eine Person."}}]}</t>
  </si>
  <si>
    <t xml:space="preserve">TRGS 401; GefStoffV</t>
  </si>
  <si>
    <t xml:space="preserve">Auslöser auf Gastronomie, Gebäudereinigung, Praxis, Kfz, Bäckerei, Bau ausweiten (Feuchtarbeit/hautbelastende Stoffe). Rechtsgrundlage: TRGS 401 i. V. m. §§ 7, 14 GefStoffV; TRGS 530.</t>
  </si>
  <si>
    <t xml:space="preserve">K-060–K-063</t>
  </si>
  <si>
    <t xml:space="preserve">H.4</t>
  </si>
  <si>
    <t xml:space="preserve">branche.bau_baustellenverordnung</t>
  </si>
  <si>
    <t xml:space="preserve">Baustellenverordnung beachten</t>
  </si>
  <si>
    <t xml:space="preserve">Auf Baustellen gelten zusätzliche Pflichten zum Arbeitsschutz, etwa Vorankündigung, Koordination und Sicherheitsplan.</t>
  </si>
  <si>
    <t xml:space="preserve">Dein Betrieb gehört zur Baubranche.</t>
  </si>
  <si>
    <t xml:space="preserve">BaustellV</t>
  </si>
  <si>
    <t xml:space="preserve">Rolle klären: Vorankündigung, SiGe-Plan, Koordinator sind Bauherrenpflichten (§§ 2, 3 BaustellV; Schwellen &gt; 30 Arbeitstage und &gt; 20 Beschäftigte gleichzeitig oder &gt; 500 Personentage). Für Auftragnehmer: § 5 BaustellV (Hinweise des Koordinators und SiGe-Plan beachten).</t>
  </si>
  <si>
    <t xml:space="preserve">K-050–K-053</t>
  </si>
  <si>
    <t xml:space="preserve">H.5</t>
  </si>
  <si>
    <t xml:space="preserve">branche.transport_lenkzeiten</t>
  </si>
  <si>
    <t xml:space="preserve">Lenk- und Ruhezeiten einhalten und mit dem Fahrtenschreiber aufzeichnen</t>
  </si>
  <si>
    <t xml:space="preserve">Für Fahrzeuge über 3,5 t – grenzüberschreitend schon über 2,5 t – gelten die EU-Lenk- und Ruhezeiten; aufgezeichnet wird mit dem Fahrtenschreiber.</t>
  </si>
  <si>
    <t xml:space="preserve">{"all":[{"feld":"profil.fahrzeuge.anzahl","op":"&gt;=","wert":1,"label":{"de":"Du nutzt Firmenfahrzeuge."}},{"any":[{"feld":"profil.fahrzeuge.gesamtmasse","op":"enthaelt","wert":"ueber_3_5t","label":{"de":"Mindestens ein Fahrzeug hat mehr als 3,5 t zulässige Gesamtmasse."}},{"all":[{"feld":"profil.fahr</t>
  </si>
  <si>
    <t xml:space="preserve">Verordnung (EG) Nr. 561/2006; Verordnung (EU) Nr. 165/2014; FPersG</t>
  </si>
  <si>
    <t xml:space="preserve">Nicht Kern der sicherheitstechnischen Prüfung; Handwerkerausnahme Art. 3 Buchst. aa VO 561/2006 prüfen (RA/BG Verkehr).</t>
  </si>
  <si>
    <t xml:space="preserve">branche.transport_lenkzeiten_national</t>
  </si>
  <si>
    <t xml:space="preserve">Lenk- und Ruhezeiten bei Transportern über 2,8 t</t>
  </si>
  <si>
    <t xml:space="preserve">Im Inland gelten die Lenk- und Ruhezeiten schon für Fahrzeuge über 2,8 t bis 3,5 t – ohne Fahrtenschreiber zeichnest du sie mit Tageskontrollblättern auf.</t>
  </si>
  <si>
    <t xml:space="preserve">{"all":[{"feld":"profil.fahrzeuge.anzahl","op":"&gt;=","wert":1,"label":{"de":"Du nutzt Firmenfahrzeuge."}},{"feld":"profil.fahrzeuge.gesamtmasse","op":"enthaelt","wert":"2_8_bis_3_5t","label":{"de":"Mindestens ein Fahrzeug hat über 2,8 bis 3,5 t zulässige Gesamtmasse."}}]}</t>
  </si>
  <si>
    <t xml:space="preserve">FPersV; Verordnung (EG) Nr. 561/2006</t>
  </si>
  <si>
    <t xml:space="preserve">Fundstelle § 1 Abs. 1 Nr. 1 FPersV (2,8–3,5 t) gegenprüfen.</t>
  </si>
  <si>
    <t xml:space="preserve">Pflicht</t>
  </si>
  <si>
    <t xml:space="preserve">Bemerkung</t>
  </si>
  <si>
    <t xml:space="preserve">Erste-Hilfe-Organisation ab 1 Beschäftigtem</t>
  </si>
  <si>
    <t xml:space="preserve">§§ 24, 25 DGUV V1; ASR A4.3</t>
  </si>
  <si>
    <t xml:space="preserve">Abspaltung aus E.53 (Verbandkasten, Notruf, Dokumentation).</t>
  </si>
  <si>
    <t xml:space="preserve">Brandschutzhelfer</t>
  </si>
  <si>
    <t xml:space="preserve">ASR A2.2 Nr. 7.3</t>
  </si>
  <si>
    <t xml:space="preserve">i. d. R. 5 % der Beschäftigten; Ausbildung, Auffrischung empfohlen alle 3–5 Jahre (DGUV I 205-023).</t>
  </si>
  <si>
    <t xml:space="preserve">Flucht- und Rettungsplan, Räumungsübung</t>
  </si>
  <si>
    <t xml:space="preserve">ASR A2.3</t>
  </si>
  <si>
    <t xml:space="preserve">Nur wenn Lage, Ausdehnung oder Art der Arbeitsstätte es erfordern.</t>
  </si>
  <si>
    <t xml:space="preserve">Expositionsverzeichnis krebserzeugend/reproduktionstoxisch 1A/1B</t>
  </si>
  <si>
    <t xml:space="preserve">§ 10a GefStoffV n. F.</t>
  </si>
  <si>
    <t xml:space="preserve">Tischlerei (Hartholzstaub), Kfz (Dieselmotoremissionen); lange Aufbewahrung.</t>
  </si>
  <si>
    <t xml:space="preserve">Betriebsanweisung Arbeitsmittel</t>
  </si>
  <si>
    <t xml:space="preserve">§ 12 Abs. 2 BetrSichV</t>
  </si>
  <si>
    <t xml:space="preserve">Maschinen mit Gebrauchsanleitungspflicht.</t>
  </si>
  <si>
    <t xml:space="preserve">Biostoffe: GB, Betriebsanweisung, Unterweisung</t>
  </si>
  <si>
    <t xml:space="preserve">§§ 4, 14 BioStoffV</t>
  </si>
  <si>
    <t xml:space="preserve">Praxis, Kosmetik, Gebäudereinigung.</t>
  </si>
  <si>
    <t xml:space="preserve">Lärm: Gehörschutz, Lärmbereiche</t>
  </si>
  <si>
    <t xml:space="preserve">LärmVibrationsArbSchV</t>
  </si>
  <si>
    <t xml:space="preserve">Handwerk, Holz, Kfz.</t>
  </si>
  <si>
    <t xml:space="preserve">Verbandbuch für jeden Unfall</t>
  </si>
  <si>
    <t xml:space="preserve">§ 24 Abs. 6 DGUV V1</t>
  </si>
  <si>
    <t xml:space="preserve">Heute in Unfallanzeige vermischt.</t>
  </si>
  <si>
    <t xml:space="preserve">Prüfung Leitern/Tritte, Regale</t>
  </si>
  <si>
    <t xml:space="preserve">§ 14 BetrSichV; DGUV I 208-016; DIN EN 15635</t>
  </si>
  <si>
    <t xml:space="preserve">Alle Branchen.</t>
  </si>
  <si>
    <t xml:space="preserve">Sicherheitsbeauftragte</t>
  </si>
  <si>
    <t xml:space="preserve">§ 22 SGB VII (Neuregelung, Bundestag 26.03.2026)</t>
  </si>
  <si>
    <t xml:space="preserve">Pflicht ab regelmäßig 50 Beschäftigten, 20–50 nur bei besonderer Gefährdung nach GB/UVV – Inkrafttreten prüfen. Für Zielgruppe meist nicht relevant, aber Check-Frage sinnvoll.</t>
  </si>
  <si>
    <t xml:space="preserve">Getränkeschankanlagen / Flüssiggas prüfen</t>
  </si>
  <si>
    <t xml:space="preserve">BetrSichV; DGUV Regel 110-007; DGUV V79</t>
  </si>
  <si>
    <t xml:space="preserve">Gastronomie.</t>
  </si>
  <si>
    <t xml:space="preserve">Unterweisung/Abstimmung Fremdfirmen und Arbeit beim Kunden</t>
  </si>
  <si>
    <t xml:space="preserve">§ 8 ArbSchG; § 5, 6 DGUV V1</t>
  </si>
  <si>
    <t xml:space="preserve">Handwerk, Gebäudereinigung.</t>
  </si>
  <si>
    <t xml:space="preserve">Punkt</t>
  </si>
  <si>
    <t xml:space="preserve">Inhalt</t>
  </si>
  <si>
    <t xml:space="preserve">Drei Stufen sind für Kleinbetriebe vertretbar; BG-Handlungshilfen arbeiten ähnlich einfach. Eine Nohl-Matrix ist nicht vorgeschrieben (§ 5 ArbSchG schreibt keine Methode vor).</t>
  </si>
  <si>
    <t xml:space="preserve">Problem 1</t>
  </si>
  <si>
    <t xml:space="preserve">Definition „gering = Schaden unwahrscheinlich ODER nur leicht“: seltene, aber schwere Ereignisse (Stromschlag, Fettbrand, Absturz) landen bei „gering“. Schwere und Wahrscheinlichkeit müssen kombiniert werden.</t>
  </si>
  <si>
    <t xml:space="preserve">Problem 2</t>
  </si>
  <si>
    <t xml:space="preserve">Vorbelegung „mittel“ verankert das Ergebnis und dokumentiert keine echte Bewertung – Feld leer starten, Auswahl erzwingen.</t>
  </si>
  <si>
    <t xml:space="preserve">Problem 3</t>
  </si>
  <si>
    <t xml:space="preserve">Kein Restrisiko nach Maßnahmen; Wirksamkeit nur pauschal.</t>
  </si>
  <si>
    <t xml:space="preserve">Vorschlag</t>
  </si>
  <si>
    <t xml:space="preserve">Zwei Fragen in der App: Schwere (leicht / mittel – mit Ausfallzeit / schwer – bleibend oder tödlich) × Wahrscheinlichkeit (unwahrscheinlich / möglich / wahrscheinlich). Ergebnis: hoch = schwer &amp; möglich/wahrscheinlich oder mittel &amp; wahrscheinlich; gering = leicht &amp; unwahrscheinlich/möglich oder mittel &amp; unwahrscheinlich; sonst mittel. Schwer &amp; unwahrscheinlich = mittel.</t>
  </si>
  <si>
    <t xml:space="preserve">Handlungsbedarf beibehalten: hoch → sofort, ggf. Tätigkeit einstellen; mittel → zeitnah mit Termin; gering → bei Gelegenheit / beobachten.</t>
  </si>
  <si>
    <t xml:space="preserve">Spalte „Risiko nach Maßnahme“ optional; Bausteine mit „hoch“ (B-036, B-072, B-084, B-086, B-105 …) beibehalten, aber als Vorschlag kennzeichnen.</t>
  </si>
  <si>
    <t xml:space="preserve">Matrix (Vorschlag)</t>
  </si>
  <si>
    <t xml:space="preserve">unwahrscheinlich</t>
  </si>
  <si>
    <t xml:space="preserve">möglich</t>
  </si>
  <si>
    <t xml:space="preserve">wahrscheinlich</t>
  </si>
  <si>
    <t xml:space="preserve">leicht</t>
  </si>
  <si>
    <t xml:space="preserve">mittel (Ausfallzeit)</t>
  </si>
  <si>
    <t xml:space="preserve">schwer (bleibend/tödlich)</t>
  </si>
  <si>
    <t xml:space="preserve">Frage (Kurzform)</t>
  </si>
  <si>
    <t xml:space="preserve">Antwort</t>
  </si>
  <si>
    <t xml:space="preserve">Details in Blatt</t>
  </si>
  <si>
    <t xml:space="preserve">Rückfrage Anbieter</t>
  </si>
  <si>
    <t xml:space="preserve">Vollständigkeit der Gefährdungen je Branche</t>
  </si>
  <si>
    <t xml:space="preserve">Friseur, Kosmetik, Handwerk und Büro/Laden weitgehend vollständig. Größte Lücken: Gebäudereinigung (nur 5, Feuchtarbeit/Rutschen/Absturz/ätzende Reiniger fehlen), Gastronomie (CO2-Schankanlagen, Gas, allgemeiner Brandschutz), Kfz (Schweißen, Altöl/Kraftstoff, Airbags, Brand/Ex), Bäckerei (Haut, Rutschen, Lasten), Praxis (Gewalt, Laser, Narkosegase, Mutterschutz/Biostoffe).</t>
  </si>
  <si>
    <t xml:space="preserve">A Fehlende Bausteine</t>
  </si>
  <si>
    <t xml:space="preserve">STOP-Prinzip</t>
  </si>
  <si>
    <t xml:space="preserve">Reihenfolge in den Bausteinen überwiegend richtig. Hilfetext soll Substitution ausdrücklich zuerst nennen (§ 4 ArbSchG, § 7 GefStoffV). Einige Faktorzuordnungen korrigieren (B-080, B-099).</t>
  </si>
  <si>
    <t xml:space="preserve">A Bausteine; B Vorlagen</t>
  </si>
  <si>
    <t xml:space="preserve">Kennzahlen und Grenzwerte</t>
  </si>
  <si>
    <t xml:space="preserve">Großteil bestätigt (100 m³/h, Feuchtarbeit, Mehlstaub, Lärm, Lux, LE, DGUV-V3-Fristen, 160×80 cm). Korrigieren: Fettbrandlöscher (B-036), 750 lx ist BGW-Wert, nicht ASR (B-018), Raumtemperatur-Stufen (B-058). Offen: 14-Tage-Abscheider (B-031), R 9 Friseur (Fundstelle).</t>
  </si>
  <si>
    <t xml:space="preserve">A Kennzahlen</t>
  </si>
  <si>
    <t xml:space="preserve">Fachquellen für „Nutzertest“/„fachlich zu prüfen“</t>
  </si>
  <si>
    <t xml:space="preserve">Kfz: DGUV Regel 109-009 (Fahrzeug-Instandhaltung), TRGS 554, DGUV I 209-093. Holz: DGUV Regel 109-606, TRGS 553. Bäckerei: BGN-Branchenwissen Backbetriebe, ArbMedVV Anh. Teil 1 Nr. 2j. Transport: DGUV V70 §§ 35, 57, VDI 2700, BG Verkehr. Reinigung: BG BAU, DGUV Regel 101-019, DGUV Regel 112-139.</t>
  </si>
  <si>
    <t xml:space="preserve">A Bausteine (Spalte Fundstelle)</t>
  </si>
  <si>
    <t xml:space="preserve">Praxis, Einzelhandel, Elektrohandwerk</t>
  </si>
  <si>
    <t xml:space="preserve">Praxis-Bausteine fachlich richtig; Nadelstich-Erstmaßnahmen vom Betriebsarzt an aktueller PEP-Leitlinie prüfen lassen; BGW-Quelle 2004 ersetzen; Gewalt, Laser, Narkosegase ergänzen. Einzelhandel: BGHW-Branchenhilfen Handel (Kompendium/Handlungshilfen der BGHW). Elektrohandwerk: ein Baustein reicht nicht – Leitern, Baustelle, Absturz, Fahrzeuge aus Handwerk/Bau zuordnen, BG ETEM-Handlungshilfe nutzen.</t>
  </si>
  <si>
    <t xml:space="preserve">A Bausteine; A Fehlende Bausteine</t>
  </si>
  <si>
    <t xml:space="preserve">Hautschutz anderer Branchen; ISO 374-6; „Sticharbeiten“</t>
  </si>
  <si>
    <t xml:space="preserve">Ja, eigene Zeilen für Kosmetik/Nagel, Gastronomie, Gebäudereinigung, Praxis (Händedesinfektion), Kfz, Bäckerei. DIN EN ISO 374-6:2025-11 „Schutzhandschuhe für Friseure“ existiert – belegt. „Sticharbeiten“ durch „Präzisionsarbeiten (z. B. Permanent-Make-up)“ ersetzen.</t>
  </si>
  <si>
    <t xml:space="preserve">B Vorlagen; B-018</t>
  </si>
  <si>
    <t xml:space="preserve">Gliederung GB; Brand/Explosion</t>
  </si>
  <si>
    <t xml:space="preserve">Gliederung zulässig; Brand/Explosion und Elektrik als feste Unterpunkte; Abschnitt Prüffristen Arbeitsmittel ergänzen (§ 3 Abs. 6 BetrSichV); Wirksamkeit je Maßnahme.</t>
  </si>
  <si>
    <t xml:space="preserve">B Vorlagen</t>
  </si>
  <si>
    <t xml:space="preserve">Mutterschutz und Jugendliche</t>
  </si>
  <si>
    <t xml:space="preserve">Drei Ergebnisse nach § 10 MuSchG korrekt; Warnhinweis bei Gefahr-/Biostoffen, Lärm richtig. JArbSchG-Bausteine konkretisieren (Pausen, § 22 Abs. 3 Betreuung).</t>
  </si>
  <si>
    <t xml:space="preserve">A Bausteine B-109–B-115</t>
  </si>
  <si>
    <t xml:space="preserve">Unterweisung: Verständnis, Signatur</t>
  </si>
  <si>
    <t xml:space="preserve">Feld für Verständniskontrolle ergänzen. Für Gefahr- und Biostoffe ist Unterschrift vorgeschrieben – eingetippter Name genügt dort nicht; sonst formfrei, aber schwacher Nachweis. Elektronische Signaturformen rechtlich beim Anwalt klären.</t>
  </si>
  <si>
    <t xml:space="preserve">Betriebsanweisung, Gefahrstoffverzeichnis, Maschinen</t>
  </si>
  <si>
    <t xml:space="preserve">Gliederung passt zu TRGS 555; ohne Piktogramme zulässig, Felder für Signalwort/Piktogramme aber empfohlen. Verzeichnis-Spalten reichen; Mengenbereiche brauchbar mit klarem Bezug. Maschinen-BA (§ 12 BetrSichV): ja, Vorlage nötig.</t>
  </si>
  <si>
    <t xml:space="preserve">Prüfprotokoll DGUV V3</t>
  </si>
  <si>
    <t xml:space="preserve">Richtwerte Tab. 1A/1B bestätigt, auch RCD-Wert („unsicher“ kann entfallen). Grenzwerte, Messverfahren, Kalibrierung, Qualifikation ergänzen. Termin aus Richtwert nur als editierbarer Vorschlag; keine automatische Verlängerung.</t>
  </si>
  <si>
    <t xml:space="preserve">A Kennzahlen; B Vorlagen</t>
  </si>
  <si>
    <t xml:space="preserve">Auslöser und Fristen im Katalog</t>
  </si>
  <si>
    <t xml:space="preserve">Unfallanzeige erst ab Tod / &gt; 3 Tage AU, Sanktion bestätigt. Ersthelfer: „anwesende Versicherte“, Inhaber nur wenn versichert – Erste-Hilfe-Grundorganisation ab 1 Beschäftigtem. „Vor Arbeitsbeginn“: rechtlich genügt der erste Arbeitstag vor Aufnahme der Tätigkeit; Vortag nur als Erinnerung.</t>
  </si>
  <si>
    <t xml:space="preserve">C Katalog</t>
  </si>
  <si>
    <t xml:space="preserve">Betreuung ASiG/DGUV V2</t>
  </si>
  <si>
    <t xml:space="preserve">Text ergänzen (siehe C Katalog). Betrieben ohne Betreuung sagen: „Du musst betreut sein – wähle Regelbetreuung (Vertrag mit Sifa und Betriebsarzt bzw. überbetrieblichem Dienst) oder melde dich bei deiner BG zum Unternehmermodell an. Bis dahin fehlt dir die fachliche Beratung zur Gefährdungsbeurteilung.“ Hinweis: NRW-Initiative (BR-Drs. 735/25) zur Schwelle 50 ist nicht Gesetz.</t>
  </si>
  <si>
    <t xml:space="preserve">Risikoskala</t>
  </si>
  <si>
    <t xml:space="preserve">Drei Stufen ausreichend, aber als Kombination aus Schwere × Wahrscheinlichkeit definieren; Vorbelegung „mittel“ streichen.</t>
  </si>
  <si>
    <t xml:space="preserve">D Risikoskala</t>
  </si>
  <si>
    <t xml:space="preserve">Arbeitsmedizinische Vorsorge (für Betriebsarzt)</t>
  </si>
  <si>
    <t xml:space="preserve">Zuordnung im Grundsatz richtig; mit Nummern der ArbMedVV versehen (Feuchtarbeit, Mehlstaub, Schweißrauch, Hartholzstaub, Lärm, Bildschirm, UV, Biostoffe Gesundheitsdienst: HBV/HCV u. a.). Kosmetik/Tattoo-nahe Tätigkeiten mit Blutkontakt: Angebot/Impfung durch Betriebsarzt bewerten. Nachtarbeit ist § 6 Abs. 3 ArbZG, § 33 JArbSchG eigene Untersuchung – nicht ArbMedVV. Friseurchemikalien: kein eigener ArbMedVV-Anlass außer Feuchtarbeit – Betriebsarzt bestätigen.</t>
  </si>
  <si>
    <t xml:space="preserve">C Katalog (arbeitsmedizinische_vorsorge)</t>
  </si>
  <si>
    <t xml:space="preserve">Quelle</t>
  </si>
  <si>
    <t xml:space="preserve">Link</t>
  </si>
  <si>
    <t xml:space="preserve">TRGS 530 Nr. 5 (BGN-Vorschriftenportal)</t>
  </si>
  <si>
    <t xml:space="preserve">https://vorschriften.bgn-branchenwissen.de/daten/tr/trgs530/5.htm</t>
  </si>
  <si>
    <t xml:space="preserve">DIN EN ISO 374-6:2025-11 (DIN Media)</t>
  </si>
  <si>
    <t xml:space="preserve">https://www.dinmedia.de/en/standard/din-en-iso-374-6/395160443</t>
  </si>
  <si>
    <t xml:space="preserve">ASR A3.4 Anhang 3 (BGN)</t>
  </si>
  <si>
    <t xml:space="preserve">https://vorschriften.bgn-branchenwissen.de/daten/tr/asr_a3_4/anh3.htm</t>
  </si>
  <si>
    <t xml:space="preserve">ArbMedVV Anhang (lxgesetze)</t>
  </si>
  <si>
    <t xml:space="preserve">https://lxgesetze.de/arbmedvv/AN</t>
  </si>
  <si>
    <t xml:space="preserve">§ 209 SGB VII (BGN)</t>
  </si>
  <si>
    <t xml:space="preserve">https://vorschriften.bgn-branchenwissen.de/daten/gv/sgb7/209.htm</t>
  </si>
  <si>
    <t xml:space="preserve">BGN ASI 2.15 Brandbekämpfung (Fettbrand)</t>
  </si>
  <si>
    <t xml:space="preserve">https://vorschriften.bgn-branchenwissen.de/daten/asi/a2_15/4.htm</t>
  </si>
  <si>
    <t xml:space="preserve">BGN ASI 4.40 Rutschgefahr</t>
  </si>
  <si>
    <t xml:space="preserve">https://vorschriften.bgn-branchenwissen.de/daten/asi/a4_40/3.htm</t>
  </si>
  <si>
    <t xml:space="preserve">TRGS 555 Nr. 3 (BGN)</t>
  </si>
  <si>
    <t xml:space="preserve">https://vorschriften.bgn-branchenwissen.de/daten/tr/trgs555/3.htm</t>
  </si>
  <si>
    <t xml:space="preserve">§ 14 GefStoffV (lxgesetze, Stand 17.12.2025)</t>
  </si>
  <si>
    <t xml:space="preserve">https://lxgesetze.de/gefstoffv/14</t>
  </si>
  <si>
    <t xml:space="preserve">BGN Unternehmermodell DGUV V2</t>
  </si>
  <si>
    <t xml:space="preserve">https://www.bgn.de/praevention-arbeitshilfen/unsere-leistungen/arbeitsmedizinische-und-sicherheitstechnische-betreuung/unternehmermodell/Update_DGUV_Vorschrift2_Unternehmermodell.pdf</t>
  </si>
  <si>
    <t xml:space="preserve">DGUV FB ETEM: RCD-Prüffristen</t>
  </si>
  <si>
    <t xml:space="preserve">https://presse.dguv.de/medien/fb-etem/documents/rcd_1.pdf</t>
  </si>
  <si>
    <t xml:space="preserve">KomNet 24456: ASR A6 Arbeitsfläche</t>
  </si>
  <si>
    <t xml:space="preserve">https://www.komnet.nrw.de/_sitetools/dialog/24456</t>
  </si>
  <si>
    <t xml:space="preserve">KomNet 43317: ASR A1.5 Anhang 2</t>
  </si>
  <si>
    <t xml:space="preserve">https://www.komnet.nrw.de/_sitetools/dialog/43317</t>
  </si>
  <si>
    <t xml:space="preserve">BR-Drs. 735/25 (NRW, Bürokratieabbau Arbeitsschutz – Entwurf)</t>
  </si>
  <si>
    <t xml:space="preserve">https://dserver.bundestag.de/brd/2025/0735-25.pdf</t>
  </si>
  <si>
    <t xml:space="preserve">HWK Cottbus: Neuregelung Sicherheitsbeauftragte (26.03.2026)</t>
  </si>
  <si>
    <t xml:space="preserve">https://www.hwk-cottbus.de/artikel/bundestag-erhoeht-schwellenwert-fuer-sicherheitsbeauftragte-7,0,10305.html</t>
  </si>
  <si>
    <t xml:space="preserve">Haufe: § 10a GefStoffV Expositionsverzeichnis</t>
  </si>
  <si>
    <t xml:space="preserve">https://www.haufe.de/id/beitrag/novellierung-der-gefahrstoffverordnung-fokus-krebserz-11-10a-expositionsverzeichnis-auch-fuer-reproduktionstoxische-stoffe-kat-1a-oder-1b-HI16494225.html</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</si>
</sst>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b val="true"/>
      <sz val="11"/>
      <name val="Arial"/>
      <family val="0"/>
      <charset val="1"/>
    </font>
    <font>
      <b val="true"/>
      <sz val="10"/>
      <color rgb="FFFFFFFF"/>
      <name val="Arial"/>
      <family val="0"/>
      <charset val="1"/>
    </font>
    <font>
      <sz val="9"/>
      <name val="Arial"/>
      <family val="0"/>
      <charset val="1"/>
    </font>
    <font>
      <sz val="11"/>
      <name val="Arial"/>
      <family val="0"/>
      <charset val="1"/>
    </font>
    <font>
      <u val="single"/>
      <sz val="9"/>
      <color rgb="FF0563C1"/>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FFF2CC"/>
        <bgColor rgb="FFFCE5CD"/>
      </patternFill>
    </fill>
    <fill>
      <patternFill patternType="solid">
        <fgColor rgb="FFD9EAD3"/>
        <bgColor rgb="FFCFE2F3"/>
      </patternFill>
    </fill>
    <fill>
      <patternFill patternType="solid">
        <fgColor rgb="FFF4CCCC"/>
        <bgColor rgb="FFFCE5C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FF2CC"/>
          <bgColor rgb="FF000000"/>
        </patternFill>
      </fill>
    </dxf>
    <dxf>
      <fill>
        <patternFill>
          <bgColor rgb="FFD9EAD3"/>
        </patternFill>
      </fill>
    </dxf>
    <dxf>
      <fill>
        <patternFill>
          <bgColor rgb="FFFCE5CD"/>
        </patternFill>
      </fill>
    </dxf>
    <dxf>
      <fill>
        <patternFill>
          <bgColor rgb="FFF4CCCC"/>
        </patternFill>
      </fill>
    </dxf>
    <dxf>
      <fill>
        <patternFill>
          <bgColor rgb="FFCFE2F3"/>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FE2F3"/>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hyperlink" Target="https://vorschriften.bgn-branchenwissen.de/daten/tr/trgs530/5.htm" TargetMode="External"/><Relationship Id="rId2" Type="http://schemas.openxmlformats.org/officeDocument/2006/relationships/hyperlink" Target="https://www.dinmedia.de/en/standard/din-en-iso-374-6/395160443" TargetMode="External"/><Relationship Id="rId3" Type="http://schemas.openxmlformats.org/officeDocument/2006/relationships/hyperlink" Target="https://vorschriften.bgn-branchenwissen.de/daten/tr/asr_a3_4/anh3.htm" TargetMode="External"/><Relationship Id="rId4" Type="http://schemas.openxmlformats.org/officeDocument/2006/relationships/hyperlink" Target="https://lxgesetze.de/arbmedvv/AN" TargetMode="External"/><Relationship Id="rId5" Type="http://schemas.openxmlformats.org/officeDocument/2006/relationships/hyperlink" Target="https://vorschriften.bgn-branchenwissen.de/daten/gv/sgb7/209.htm" TargetMode="External"/><Relationship Id="rId6" Type="http://schemas.openxmlformats.org/officeDocument/2006/relationships/hyperlink" Target="https://vorschriften.bgn-branchenwissen.de/daten/asi/a2_15/4.htm" TargetMode="External"/><Relationship Id="rId7" Type="http://schemas.openxmlformats.org/officeDocument/2006/relationships/hyperlink" Target="https://vorschriften.bgn-branchenwissen.de/daten/asi/a4_40/3.htm" TargetMode="External"/><Relationship Id="rId8" Type="http://schemas.openxmlformats.org/officeDocument/2006/relationships/hyperlink" Target="https://vorschriften.bgn-branchenwissen.de/daten/tr/trgs555/3.htm" TargetMode="External"/><Relationship Id="rId9" Type="http://schemas.openxmlformats.org/officeDocument/2006/relationships/hyperlink" Target="https://lxgesetze.de/gefstoffv/14" TargetMode="External"/><Relationship Id="rId10" Type="http://schemas.openxmlformats.org/officeDocument/2006/relationships/hyperlink" Target="https://www.bgn.de/praevention-arbeitshilfen/unsere-leistungen/arbeitsmedizinische-und-sicherheitstechnische-betreuung/unternehmermodell/Update_DGUV_Vorschrift2_Unternehmermodell.pdf" TargetMode="External"/><Relationship Id="rId11" Type="http://schemas.openxmlformats.org/officeDocument/2006/relationships/hyperlink" Target="https://presse.dguv.de/medien/fb-etem/documents/rcd_1.pdf" TargetMode="External"/><Relationship Id="rId12" Type="http://schemas.openxmlformats.org/officeDocument/2006/relationships/hyperlink" Target="https://www.komnet.nrw.de/_sitetools/dialog/24456" TargetMode="External"/><Relationship Id="rId13" Type="http://schemas.openxmlformats.org/officeDocument/2006/relationships/hyperlink" Target="https://www.komnet.nrw.de/_sitetools/dialog/43317" TargetMode="External"/><Relationship Id="rId14" Type="http://schemas.openxmlformats.org/officeDocument/2006/relationships/hyperlink" Target="https://dserver.bundestag.de/brd/2025/0735-25.pdf" TargetMode="External"/><Relationship Id="rId15" Type="http://schemas.openxmlformats.org/officeDocument/2006/relationships/hyperlink" Target="https://www.hwk-cottbus.de/artikel/bundestag-erhoeht-schwellenwert-fuer-sicherheitsbeauftragte-7,0,10305.html" TargetMode="External"/><Relationship Id="rId16" Type="http://schemas.openxmlformats.org/officeDocument/2006/relationships/hyperlink" Target="https://www.haufe.de/id/beitrag/novellierung-der-gefahrstoffverordnung-fokus-krebserz-11-10a-expositionsverzeichnis-auch-fuer-reproduktionstoxische-stoffe-kat-1a-oder-1b-HI16494225.html" TargetMode="External"/><Relationship Id="rId17"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35.0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t="s">
        <v>12</v>
      </c>
    </row>
    <row r="15" customFormat="false" ht="15" hidden="false" customHeight="false" outlineLevel="0" collapsed="false">
      <c r="A15" s="2" t="s">
        <v>13</v>
      </c>
    </row>
    <row r="16" customFormat="false" ht="15" hidden="false" customHeight="false" outlineLevel="0" collapsed="false">
      <c r="A16" s="2"/>
    </row>
    <row r="17" customFormat="false" ht="15" hidden="false" customHeight="false" outlineLevel="0" collapsed="false">
      <c r="A17" s="3" t="s">
        <v>14</v>
      </c>
    </row>
    <row r="18" customFormat="false" ht="23.85" hidden="false" customHeight="false" outlineLevel="0" collapsed="false">
      <c r="A18" s="2" t="s">
        <v>15</v>
      </c>
    </row>
    <row r="19" customFormat="false" ht="15" hidden="false" customHeight="false" outlineLevel="0" collapsed="false">
      <c r="A19" s="3" t="s">
        <v>16</v>
      </c>
    </row>
    <row r="20" customFormat="false" ht="23.8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row r="30" customFormat="false" ht="15" hidden="false" customHeight="false" outlineLevel="0" collapsed="false">
      <c r="A30" s="2" t="s">
        <v>26</v>
      </c>
    </row>
    <row r="31" customFormat="false" ht="15" hidden="false" customHeight="false" outlineLevel="0" collapsed="false">
      <c r="A31"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4"/>
  </cols>
  <sheetData>
    <row r="1" customFormat="false" ht="15" hidden="false" customHeight="false" outlineLevel="0" collapsed="false">
      <c r="A1" s="4" t="s">
        <v>28</v>
      </c>
    </row>
    <row r="3" customFormat="false" ht="15" hidden="false" customHeight="false" outlineLevel="0" collapsed="false">
      <c r="A3" s="5" t="s">
        <v>29</v>
      </c>
      <c r="B3" s="5" t="s">
        <v>30</v>
      </c>
      <c r="C3" s="5" t="s">
        <v>31</v>
      </c>
    </row>
    <row r="4" customFormat="false" ht="15" hidden="false" customHeight="false" outlineLevel="0" collapsed="false">
      <c r="A4" s="6" t="s">
        <v>32</v>
      </c>
      <c r="B4" s="6" t="n">
        <f aca="false">COUNTIF('A Bausteine'!$J$2:$J$198,"frei*")</f>
        <v>154</v>
      </c>
      <c r="C4" s="6" t="n">
        <f aca="false">COUNTIF('C Katalog'!$I$2:$I$29,"frei*")</f>
        <v>15</v>
      </c>
    </row>
    <row r="5" customFormat="false" ht="15" hidden="false" customHeight="false" outlineLevel="0" collapsed="false">
      <c r="A5" s="6" t="s">
        <v>33</v>
      </c>
      <c r="B5" s="6" t="n">
        <f aca="false">COUNTIF('A Bausteine'!$J$2:$J$198,"ändern*")</f>
        <v>43</v>
      </c>
      <c r="C5" s="6" t="n">
        <f aca="false">COUNTIF('C Katalog'!$I$2:$I$29,"ändern*")</f>
        <v>13</v>
      </c>
    </row>
    <row r="6" customFormat="false" ht="15" hidden="false" customHeight="false" outlineLevel="0" collapsed="false">
      <c r="A6" s="6" t="s">
        <v>34</v>
      </c>
      <c r="B6" s="6" t="n">
        <f aca="false">COUNTIF('A Bausteine'!$J$2:$J$198,"streichen*")</f>
        <v>0</v>
      </c>
      <c r="C6" s="6" t="n">
        <f aca="false">COUNTIF('C Katalog'!$I$2:$I$29,"streichen*")</f>
        <v>0</v>
      </c>
    </row>
    <row r="7" customFormat="false" ht="15" hidden="false" customHeight="false" outlineLevel="0" collapsed="false">
      <c r="A7" s="6" t="s">
        <v>35</v>
      </c>
      <c r="B7" s="6" t="n">
        <f aca="false">SUM(B4:B6)</f>
        <v>197</v>
      </c>
      <c r="C7" s="6" t="n">
        <f aca="false">SUM(C4:C6)</f>
        <v>28</v>
      </c>
    </row>
    <row r="8" customFormat="false" ht="15" hidden="false" customHeight="false" outlineLevel="0" collapsed="false">
      <c r="A8" s="6" t="s">
        <v>36</v>
      </c>
      <c r="B8" s="6" t="n">
        <f aca="false">COUNTIF('A Bausteine'!$O$2:$O$198,"umgesetzt")+COUNTIF('A Bausteine'!$O$2:$O$198,"abweichend umgesetzt")</f>
        <v>0</v>
      </c>
      <c r="C8" s="6"/>
    </row>
    <row r="9" customFormat="false" ht="15" hidden="false" customHeight="false" outlineLevel="0" collapsed="false">
      <c r="A9" s="6"/>
      <c r="B9" s="6"/>
      <c r="C9" s="6"/>
    </row>
    <row r="10" customFormat="false" ht="15" hidden="false" customHeight="false" outlineLevel="0" collapsed="false">
      <c r="A10" s="7" t="s">
        <v>37</v>
      </c>
      <c r="B10" s="6"/>
      <c r="C10" s="6"/>
    </row>
    <row r="11" customFormat="false" ht="15" hidden="false" customHeight="false" outlineLevel="0" collapsed="false">
      <c r="A11" s="6" t="s">
        <v>38</v>
      </c>
      <c r="B11" s="6" t="n">
        <f aca="false">COUNTIF('A Bausteine'!$N$2:$N$198,"bestätigt")</f>
        <v>26</v>
      </c>
      <c r="C11" s="6"/>
    </row>
    <row r="12" customFormat="false" ht="15" hidden="false" customHeight="false" outlineLevel="0" collapsed="false">
      <c r="A12" s="6" t="s">
        <v>39</v>
      </c>
      <c r="B12" s="6" t="n">
        <f aca="false">COUNTIF('A Bausteine'!$N$2:$N$198,"plausibel")</f>
        <v>154</v>
      </c>
      <c r="C12" s="6"/>
    </row>
    <row r="13" customFormat="false" ht="15" hidden="false" customHeight="false" outlineLevel="0" collapsed="false">
      <c r="A13" s="6" t="s">
        <v>40</v>
      </c>
      <c r="B13" s="6" t="n">
        <f aca="false">COUNTIF('A Bausteine'!$N$2:$N$198,"offen")</f>
        <v>17</v>
      </c>
      <c r="C13"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4" min="3" style="0" width="16"/>
    <col collapsed="false" customWidth="true" hidden="false" outlineLevel="0" max="5" min="5" style="0" width="34"/>
    <col collapsed="false" customWidth="true" hidden="false" outlineLevel="0" max="6" min="6" style="0" width="50"/>
    <col collapsed="false" customWidth="true" hidden="false" outlineLevel="0" max="7" min="7" style="0" width="12"/>
    <col collapsed="false" customWidth="true" hidden="false" outlineLevel="0" max="8" min="8" style="0" width="22"/>
    <col collapsed="false" customWidth="true" hidden="false" outlineLevel="0" max="9" min="9" style="0" width="16"/>
    <col collapsed="false" customWidth="true" hidden="false" outlineLevel="0" max="10" min="10" style="0" width="14"/>
    <col collapsed="false" customWidth="true" hidden="false" outlineLevel="0" max="11" min="11" style="0" width="50"/>
    <col collapsed="false" customWidth="true" hidden="false" outlineLevel="0" max="13" min="12" style="0" width="36"/>
    <col collapsed="false" customWidth="true" hidden="false" outlineLevel="0" max="14" min="14" style="0" width="14"/>
    <col collapsed="false" customWidth="true" hidden="false" outlineLevel="0" max="15" min="15" style="0" width="16"/>
    <col collapsed="false" customWidth="true" hidden="false" outlineLevel="0" max="16" min="16" style="0" width="24"/>
  </cols>
  <sheetData>
    <row r="1" customFormat="false" ht="31.5" hidden="false" customHeight="true" outlineLevel="0" collapsed="false">
      <c r="A1" s="8" t="s">
        <v>41</v>
      </c>
      <c r="B1" s="8" t="s">
        <v>42</v>
      </c>
      <c r="C1" s="8" t="s">
        <v>43</v>
      </c>
      <c r="D1" s="8" t="s">
        <v>44</v>
      </c>
      <c r="E1" s="8" t="s">
        <v>45</v>
      </c>
      <c r="F1" s="8" t="s">
        <v>46</v>
      </c>
      <c r="G1" s="8" t="s">
        <v>47</v>
      </c>
      <c r="H1" s="8" t="s">
        <v>48</v>
      </c>
      <c r="I1" s="8" t="s">
        <v>49</v>
      </c>
      <c r="J1" s="8" t="s">
        <v>29</v>
      </c>
      <c r="K1" s="8" t="s">
        <v>50</v>
      </c>
      <c r="L1" s="8" t="s">
        <v>51</v>
      </c>
      <c r="M1" s="8" t="s">
        <v>52</v>
      </c>
      <c r="N1" s="8" t="s">
        <v>53</v>
      </c>
      <c r="O1" s="8" t="s">
        <v>54</v>
      </c>
      <c r="P1" s="8" t="s">
        <v>55</v>
      </c>
    </row>
    <row r="2" customFormat="false" ht="64.15" hidden="false" customHeight="false" outlineLevel="0" collapsed="false">
      <c r="A2" s="9" t="s">
        <v>56</v>
      </c>
      <c r="B2" s="9" t="s">
        <v>57</v>
      </c>
      <c r="C2" s="9" t="s">
        <v>58</v>
      </c>
      <c r="D2" s="9" t="s">
        <v>59</v>
      </c>
      <c r="E2" s="9" t="s">
        <v>60</v>
      </c>
      <c r="F2" s="9"/>
      <c r="G2" s="9"/>
      <c r="H2" s="9"/>
      <c r="I2" s="9" t="s">
        <v>61</v>
      </c>
      <c r="J2" s="9" t="s">
        <v>33</v>
      </c>
      <c r="K2" s="9" t="s">
        <v>62</v>
      </c>
      <c r="L2" s="9" t="s">
        <v>63</v>
      </c>
      <c r="M2" s="9" t="s">
        <v>64</v>
      </c>
      <c r="N2" s="9" t="s">
        <v>39</v>
      </c>
      <c r="O2" s="10"/>
      <c r="P2" s="10"/>
    </row>
    <row r="3" customFormat="false" ht="64.15" hidden="false" customHeight="false" outlineLevel="0" collapsed="false">
      <c r="A3" s="9" t="s">
        <v>65</v>
      </c>
      <c r="B3" s="9" t="s">
        <v>66</v>
      </c>
      <c r="C3" s="9" t="s">
        <v>58</v>
      </c>
      <c r="D3" s="9" t="s">
        <v>67</v>
      </c>
      <c r="E3" s="9" t="s">
        <v>68</v>
      </c>
      <c r="F3" s="9" t="s">
        <v>69</v>
      </c>
      <c r="G3" s="9" t="s">
        <v>70</v>
      </c>
      <c r="H3" s="9" t="s">
        <v>71</v>
      </c>
      <c r="I3" s="9" t="s">
        <v>72</v>
      </c>
      <c r="J3" s="9" t="s">
        <v>73</v>
      </c>
      <c r="K3" s="9"/>
      <c r="L3" s="9" t="s">
        <v>74</v>
      </c>
      <c r="M3" s="9" t="s">
        <v>75</v>
      </c>
      <c r="N3" s="9" t="s">
        <v>39</v>
      </c>
      <c r="O3" s="10"/>
      <c r="P3" s="10"/>
    </row>
    <row r="4" customFormat="false" ht="64.15" hidden="false" customHeight="false" outlineLevel="0" collapsed="false">
      <c r="A4" s="9" t="s">
        <v>76</v>
      </c>
      <c r="B4" s="9" t="s">
        <v>66</v>
      </c>
      <c r="C4" s="9" t="s">
        <v>58</v>
      </c>
      <c r="D4" s="9" t="s">
        <v>67</v>
      </c>
      <c r="E4" s="9" t="s">
        <v>77</v>
      </c>
      <c r="F4" s="9" t="s">
        <v>78</v>
      </c>
      <c r="G4" s="9"/>
      <c r="H4" s="9" t="s">
        <v>71</v>
      </c>
      <c r="I4" s="9" t="s">
        <v>72</v>
      </c>
      <c r="J4" s="9" t="s">
        <v>32</v>
      </c>
      <c r="K4" s="9"/>
      <c r="L4" s="9" t="s">
        <v>79</v>
      </c>
      <c r="M4" s="9"/>
      <c r="N4" s="9" t="s">
        <v>39</v>
      </c>
      <c r="O4" s="10"/>
      <c r="P4" s="10"/>
    </row>
    <row r="5" customFormat="false" ht="53.7" hidden="false" customHeight="false" outlineLevel="0" collapsed="false">
      <c r="A5" s="9" t="s">
        <v>80</v>
      </c>
      <c r="B5" s="9" t="s">
        <v>66</v>
      </c>
      <c r="C5" s="9" t="s">
        <v>58</v>
      </c>
      <c r="D5" s="9" t="s">
        <v>67</v>
      </c>
      <c r="E5" s="9" t="s">
        <v>81</v>
      </c>
      <c r="F5" s="9" t="s">
        <v>82</v>
      </c>
      <c r="G5" s="9" t="s">
        <v>83</v>
      </c>
      <c r="H5" s="9" t="s">
        <v>84</v>
      </c>
      <c r="I5" s="9" t="s">
        <v>72</v>
      </c>
      <c r="J5" s="9" t="s">
        <v>73</v>
      </c>
      <c r="K5" s="9" t="s">
        <v>85</v>
      </c>
      <c r="L5" s="9" t="s">
        <v>86</v>
      </c>
      <c r="M5" s="9" t="s">
        <v>87</v>
      </c>
      <c r="N5" s="9" t="s">
        <v>38</v>
      </c>
      <c r="O5" s="10"/>
      <c r="P5" s="10"/>
    </row>
    <row r="6" customFormat="false" ht="74.6" hidden="false" customHeight="false" outlineLevel="0" collapsed="false">
      <c r="A6" s="9" t="s">
        <v>88</v>
      </c>
      <c r="B6" s="9" t="s">
        <v>66</v>
      </c>
      <c r="C6" s="9" t="s">
        <v>58</v>
      </c>
      <c r="D6" s="9" t="s">
        <v>67</v>
      </c>
      <c r="E6" s="9" t="s">
        <v>89</v>
      </c>
      <c r="F6" s="9" t="s">
        <v>90</v>
      </c>
      <c r="G6" s="9" t="s">
        <v>91</v>
      </c>
      <c r="H6" s="9" t="s">
        <v>71</v>
      </c>
      <c r="I6" s="9" t="s">
        <v>72</v>
      </c>
      <c r="J6" s="9" t="s">
        <v>73</v>
      </c>
      <c r="K6" s="9" t="s">
        <v>92</v>
      </c>
      <c r="L6" s="9" t="s">
        <v>93</v>
      </c>
      <c r="M6" s="9" t="s">
        <v>94</v>
      </c>
      <c r="N6" s="9" t="s">
        <v>38</v>
      </c>
      <c r="O6" s="10"/>
      <c r="P6" s="10"/>
    </row>
    <row r="7" customFormat="false" ht="85.05" hidden="false" customHeight="false" outlineLevel="0" collapsed="false">
      <c r="A7" s="9" t="s">
        <v>95</v>
      </c>
      <c r="B7" s="9" t="s">
        <v>66</v>
      </c>
      <c r="C7" s="9" t="s">
        <v>58</v>
      </c>
      <c r="D7" s="9" t="s">
        <v>67</v>
      </c>
      <c r="E7" s="9" t="s">
        <v>96</v>
      </c>
      <c r="F7" s="9" t="s">
        <v>97</v>
      </c>
      <c r="G7" s="9"/>
      <c r="H7" s="9" t="s">
        <v>84</v>
      </c>
      <c r="I7" s="9" t="s">
        <v>72</v>
      </c>
      <c r="J7" s="9" t="s">
        <v>32</v>
      </c>
      <c r="K7" s="9" t="s">
        <v>98</v>
      </c>
      <c r="L7" s="9" t="s">
        <v>99</v>
      </c>
      <c r="M7" s="9" t="s">
        <v>100</v>
      </c>
      <c r="N7" s="9" t="s">
        <v>38</v>
      </c>
      <c r="O7" s="10"/>
      <c r="P7" s="10"/>
    </row>
    <row r="8" customFormat="false" ht="43.25" hidden="false" customHeight="false" outlineLevel="0" collapsed="false">
      <c r="A8" s="9" t="s">
        <v>101</v>
      </c>
      <c r="B8" s="9" t="s">
        <v>66</v>
      </c>
      <c r="C8" s="9" t="s">
        <v>58</v>
      </c>
      <c r="D8" s="9" t="s">
        <v>67</v>
      </c>
      <c r="E8" s="9" t="s">
        <v>102</v>
      </c>
      <c r="F8" s="9" t="s">
        <v>103</v>
      </c>
      <c r="G8" s="9"/>
      <c r="H8" s="9" t="s">
        <v>84</v>
      </c>
      <c r="I8" s="9" t="s">
        <v>72</v>
      </c>
      <c r="J8" s="9" t="s">
        <v>32</v>
      </c>
      <c r="K8" s="9"/>
      <c r="L8" s="9" t="s">
        <v>104</v>
      </c>
      <c r="M8" s="9"/>
      <c r="N8" s="9" t="s">
        <v>38</v>
      </c>
      <c r="O8" s="10"/>
      <c r="P8" s="10"/>
    </row>
    <row r="9" customFormat="false" ht="53.7" hidden="false" customHeight="false" outlineLevel="0" collapsed="false">
      <c r="A9" s="9" t="s">
        <v>105</v>
      </c>
      <c r="B9" s="9" t="s">
        <v>66</v>
      </c>
      <c r="C9" s="9" t="s">
        <v>58</v>
      </c>
      <c r="D9" s="9" t="s">
        <v>67</v>
      </c>
      <c r="E9" s="9" t="s">
        <v>106</v>
      </c>
      <c r="F9" s="9" t="s">
        <v>107</v>
      </c>
      <c r="G9" s="9"/>
      <c r="H9" s="9" t="s">
        <v>71</v>
      </c>
      <c r="I9" s="9" t="s">
        <v>72</v>
      </c>
      <c r="J9" s="9" t="s">
        <v>32</v>
      </c>
      <c r="K9" s="9"/>
      <c r="L9" s="9" t="s">
        <v>108</v>
      </c>
      <c r="M9" s="9"/>
      <c r="N9" s="9" t="s">
        <v>39</v>
      </c>
      <c r="O9" s="10"/>
      <c r="P9" s="10"/>
    </row>
    <row r="10" customFormat="false" ht="74.6" hidden="false" customHeight="false" outlineLevel="0" collapsed="false">
      <c r="A10" s="9" t="s">
        <v>109</v>
      </c>
      <c r="B10" s="9" t="s">
        <v>66</v>
      </c>
      <c r="C10" s="9" t="s">
        <v>58</v>
      </c>
      <c r="D10" s="9" t="s">
        <v>67</v>
      </c>
      <c r="E10" s="9" t="s">
        <v>110</v>
      </c>
      <c r="F10" s="9" t="s">
        <v>111</v>
      </c>
      <c r="G10" s="9" t="s">
        <v>112</v>
      </c>
      <c r="H10" s="9" t="s">
        <v>71</v>
      </c>
      <c r="I10" s="9" t="s">
        <v>72</v>
      </c>
      <c r="J10" s="9" t="s">
        <v>32</v>
      </c>
      <c r="K10" s="9" t="s">
        <v>113</v>
      </c>
      <c r="L10" s="9" t="s">
        <v>114</v>
      </c>
      <c r="M10" s="9"/>
      <c r="N10" s="9" t="s">
        <v>39</v>
      </c>
      <c r="O10" s="10"/>
      <c r="P10" s="10"/>
    </row>
    <row r="11" customFormat="false" ht="74.6" hidden="false" customHeight="false" outlineLevel="0" collapsed="false">
      <c r="A11" s="9" t="s">
        <v>115</v>
      </c>
      <c r="B11" s="9" t="s">
        <v>66</v>
      </c>
      <c r="C11" s="9" t="s">
        <v>58</v>
      </c>
      <c r="D11" s="9" t="s">
        <v>67</v>
      </c>
      <c r="E11" s="9" t="s">
        <v>116</v>
      </c>
      <c r="F11" s="9" t="s">
        <v>117</v>
      </c>
      <c r="G11" s="9"/>
      <c r="H11" s="9" t="s">
        <v>71</v>
      </c>
      <c r="I11" s="9" t="s">
        <v>72</v>
      </c>
      <c r="J11" s="9" t="s">
        <v>32</v>
      </c>
      <c r="K11" s="9"/>
      <c r="L11" s="9" t="s">
        <v>118</v>
      </c>
      <c r="M11" s="9"/>
      <c r="N11" s="9" t="s">
        <v>39</v>
      </c>
      <c r="O11" s="10"/>
      <c r="P11" s="10"/>
    </row>
    <row r="12" customFormat="false" ht="64.15" hidden="false" customHeight="false" outlineLevel="0" collapsed="false">
      <c r="A12" s="9" t="s">
        <v>119</v>
      </c>
      <c r="B12" s="9" t="s">
        <v>66</v>
      </c>
      <c r="C12" s="9" t="s">
        <v>58</v>
      </c>
      <c r="D12" s="9" t="s">
        <v>67</v>
      </c>
      <c r="E12" s="9" t="s">
        <v>120</v>
      </c>
      <c r="F12" s="9" t="s">
        <v>121</v>
      </c>
      <c r="G12" s="9"/>
      <c r="H12" s="9" t="s">
        <v>71</v>
      </c>
      <c r="I12" s="9" t="s">
        <v>72</v>
      </c>
      <c r="J12" s="9" t="s">
        <v>32</v>
      </c>
      <c r="K12" s="9"/>
      <c r="L12" s="9" t="s">
        <v>122</v>
      </c>
      <c r="M12" s="9"/>
      <c r="N12" s="9" t="s">
        <v>39</v>
      </c>
      <c r="O12" s="10"/>
      <c r="P12" s="10"/>
    </row>
    <row r="13" customFormat="false" ht="53.7" hidden="false" customHeight="false" outlineLevel="0" collapsed="false">
      <c r="A13" s="9" t="s">
        <v>123</v>
      </c>
      <c r="B13" s="9" t="s">
        <v>66</v>
      </c>
      <c r="C13" s="9" t="s">
        <v>58</v>
      </c>
      <c r="D13" s="9" t="s">
        <v>67</v>
      </c>
      <c r="E13" s="9" t="s">
        <v>124</v>
      </c>
      <c r="F13" s="9" t="s">
        <v>125</v>
      </c>
      <c r="G13" s="9"/>
      <c r="H13" s="9" t="s">
        <v>71</v>
      </c>
      <c r="I13" s="9" t="s">
        <v>72</v>
      </c>
      <c r="J13" s="9" t="s">
        <v>32</v>
      </c>
      <c r="K13" s="9"/>
      <c r="L13" s="9" t="s">
        <v>71</v>
      </c>
      <c r="M13" s="9"/>
      <c r="N13" s="9" t="s">
        <v>39</v>
      </c>
      <c r="O13" s="10"/>
      <c r="P13" s="10"/>
    </row>
    <row r="14" customFormat="false" ht="74.6" hidden="false" customHeight="false" outlineLevel="0" collapsed="false">
      <c r="A14" s="9" t="s">
        <v>126</v>
      </c>
      <c r="B14" s="9" t="s">
        <v>66</v>
      </c>
      <c r="C14" s="9" t="s">
        <v>58</v>
      </c>
      <c r="D14" s="9" t="s">
        <v>67</v>
      </c>
      <c r="E14" s="9" t="s">
        <v>127</v>
      </c>
      <c r="F14" s="9" t="s">
        <v>128</v>
      </c>
      <c r="G14" s="9"/>
      <c r="H14" s="9" t="s">
        <v>71</v>
      </c>
      <c r="I14" s="9" t="s">
        <v>72</v>
      </c>
      <c r="J14" s="9" t="s">
        <v>32</v>
      </c>
      <c r="K14" s="9"/>
      <c r="L14" s="9" t="s">
        <v>129</v>
      </c>
      <c r="M14" s="9"/>
      <c r="N14" s="9" t="s">
        <v>39</v>
      </c>
      <c r="O14" s="10"/>
      <c r="P14" s="10"/>
    </row>
    <row r="15" customFormat="false" ht="64.15" hidden="false" customHeight="false" outlineLevel="0" collapsed="false">
      <c r="A15" s="9" t="s">
        <v>130</v>
      </c>
      <c r="B15" s="9" t="s">
        <v>66</v>
      </c>
      <c r="C15" s="9" t="s">
        <v>58</v>
      </c>
      <c r="D15" s="9" t="s">
        <v>67</v>
      </c>
      <c r="E15" s="9" t="s">
        <v>131</v>
      </c>
      <c r="F15" s="9" t="s">
        <v>132</v>
      </c>
      <c r="G15" s="9"/>
      <c r="H15" s="9" t="s">
        <v>71</v>
      </c>
      <c r="I15" s="9" t="s">
        <v>72</v>
      </c>
      <c r="J15" s="9" t="s">
        <v>33</v>
      </c>
      <c r="K15" s="9" t="s">
        <v>133</v>
      </c>
      <c r="L15" s="9" t="s">
        <v>134</v>
      </c>
      <c r="M15" s="9" t="s">
        <v>135</v>
      </c>
      <c r="N15" s="9" t="s">
        <v>39</v>
      </c>
      <c r="O15" s="10"/>
      <c r="P15" s="10"/>
    </row>
    <row r="16" customFormat="false" ht="64.15" hidden="false" customHeight="false" outlineLevel="0" collapsed="false">
      <c r="A16" s="9" t="s">
        <v>136</v>
      </c>
      <c r="B16" s="9" t="s">
        <v>66</v>
      </c>
      <c r="C16" s="9" t="s">
        <v>58</v>
      </c>
      <c r="D16" s="9" t="s">
        <v>67</v>
      </c>
      <c r="E16" s="9" t="s">
        <v>137</v>
      </c>
      <c r="F16" s="9" t="s">
        <v>138</v>
      </c>
      <c r="G16" s="9"/>
      <c r="H16" s="9" t="s">
        <v>71</v>
      </c>
      <c r="I16" s="9" t="s">
        <v>72</v>
      </c>
      <c r="J16" s="9" t="s">
        <v>32</v>
      </c>
      <c r="K16" s="9"/>
      <c r="L16" s="9" t="s">
        <v>139</v>
      </c>
      <c r="M16" s="9"/>
      <c r="N16" s="9" t="s">
        <v>39</v>
      </c>
      <c r="O16" s="10"/>
      <c r="P16" s="10"/>
    </row>
    <row r="17" customFormat="false" ht="43.25" hidden="false" customHeight="false" outlineLevel="0" collapsed="false">
      <c r="A17" s="9" t="s">
        <v>140</v>
      </c>
      <c r="B17" s="9" t="s">
        <v>66</v>
      </c>
      <c r="C17" s="9" t="s">
        <v>58</v>
      </c>
      <c r="D17" s="9" t="s">
        <v>67</v>
      </c>
      <c r="E17" s="9" t="s">
        <v>141</v>
      </c>
      <c r="F17" s="9" t="s">
        <v>142</v>
      </c>
      <c r="G17" s="9" t="s">
        <v>143</v>
      </c>
      <c r="H17" s="9" t="s">
        <v>71</v>
      </c>
      <c r="I17" s="9" t="s">
        <v>72</v>
      </c>
      <c r="J17" s="9" t="s">
        <v>32</v>
      </c>
      <c r="K17" s="9" t="s">
        <v>144</v>
      </c>
      <c r="L17" s="9" t="s">
        <v>145</v>
      </c>
      <c r="M17" s="9"/>
      <c r="N17" s="9" t="s">
        <v>39</v>
      </c>
      <c r="O17" s="10"/>
      <c r="P17" s="10"/>
    </row>
    <row r="18" customFormat="false" ht="64.15" hidden="false" customHeight="false" outlineLevel="0" collapsed="false">
      <c r="A18" s="9" t="s">
        <v>146</v>
      </c>
      <c r="B18" s="9" t="s">
        <v>147</v>
      </c>
      <c r="C18" s="9" t="s">
        <v>58</v>
      </c>
      <c r="D18" s="9" t="s">
        <v>67</v>
      </c>
      <c r="E18" s="9" t="s">
        <v>148</v>
      </c>
      <c r="F18" s="9" t="s">
        <v>149</v>
      </c>
      <c r="G18" s="9"/>
      <c r="H18" s="9" t="s">
        <v>150</v>
      </c>
      <c r="I18" s="9" t="s">
        <v>72</v>
      </c>
      <c r="J18" s="9" t="s">
        <v>32</v>
      </c>
      <c r="K18" s="9"/>
      <c r="L18" s="9" t="s">
        <v>151</v>
      </c>
      <c r="M18" s="9"/>
      <c r="N18" s="9" t="s">
        <v>39</v>
      </c>
      <c r="O18" s="10"/>
      <c r="P18" s="10"/>
    </row>
    <row r="19" customFormat="false" ht="53.7" hidden="false" customHeight="false" outlineLevel="0" collapsed="false">
      <c r="A19" s="9" t="s">
        <v>152</v>
      </c>
      <c r="B19" s="9" t="s">
        <v>147</v>
      </c>
      <c r="C19" s="9" t="s">
        <v>58</v>
      </c>
      <c r="D19" s="9" t="s">
        <v>67</v>
      </c>
      <c r="E19" s="9" t="s">
        <v>153</v>
      </c>
      <c r="F19" s="9" t="s">
        <v>154</v>
      </c>
      <c r="G19" s="9" t="s">
        <v>155</v>
      </c>
      <c r="H19" s="9" t="s">
        <v>156</v>
      </c>
      <c r="I19" s="9" t="s">
        <v>72</v>
      </c>
      <c r="J19" s="9" t="s">
        <v>33</v>
      </c>
      <c r="K19" s="9" t="s">
        <v>157</v>
      </c>
      <c r="L19" s="9" t="s">
        <v>158</v>
      </c>
      <c r="M19" s="9" t="s">
        <v>159</v>
      </c>
      <c r="N19" s="9" t="s">
        <v>38</v>
      </c>
      <c r="O19" s="10"/>
      <c r="P19" s="10"/>
    </row>
    <row r="20" customFormat="false" ht="64.15" hidden="false" customHeight="false" outlineLevel="0" collapsed="false">
      <c r="A20" s="9" t="s">
        <v>160</v>
      </c>
      <c r="B20" s="9" t="s">
        <v>147</v>
      </c>
      <c r="C20" s="9" t="s">
        <v>58</v>
      </c>
      <c r="D20" s="9" t="s">
        <v>67</v>
      </c>
      <c r="E20" s="9" t="s">
        <v>161</v>
      </c>
      <c r="F20" s="9" t="s">
        <v>162</v>
      </c>
      <c r="G20" s="9"/>
      <c r="H20" s="9" t="s">
        <v>163</v>
      </c>
      <c r="I20" s="9" t="s">
        <v>72</v>
      </c>
      <c r="J20" s="9" t="s">
        <v>32</v>
      </c>
      <c r="K20" s="9"/>
      <c r="L20" s="9" t="s">
        <v>164</v>
      </c>
      <c r="M20" s="9"/>
      <c r="N20" s="9" t="s">
        <v>39</v>
      </c>
      <c r="O20" s="10"/>
      <c r="P20" s="10"/>
    </row>
    <row r="21" customFormat="false" ht="53.7" hidden="false" customHeight="false" outlineLevel="0" collapsed="false">
      <c r="A21" s="9" t="s">
        <v>165</v>
      </c>
      <c r="B21" s="9" t="s">
        <v>147</v>
      </c>
      <c r="C21" s="9" t="s">
        <v>58</v>
      </c>
      <c r="D21" s="9" t="s">
        <v>67</v>
      </c>
      <c r="E21" s="9" t="s">
        <v>166</v>
      </c>
      <c r="F21" s="9" t="s">
        <v>167</v>
      </c>
      <c r="G21" s="9"/>
      <c r="H21" s="9" t="s">
        <v>168</v>
      </c>
      <c r="I21" s="9" t="s">
        <v>72</v>
      </c>
      <c r="J21" s="9" t="s">
        <v>32</v>
      </c>
      <c r="K21" s="9"/>
      <c r="L21" s="9" t="s">
        <v>169</v>
      </c>
      <c r="M21" s="9"/>
      <c r="N21" s="9" t="s">
        <v>39</v>
      </c>
      <c r="O21" s="10"/>
      <c r="P21" s="10"/>
    </row>
    <row r="22" customFormat="false" ht="32.8" hidden="false" customHeight="false" outlineLevel="0" collapsed="false">
      <c r="A22" s="9" t="s">
        <v>170</v>
      </c>
      <c r="B22" s="9" t="s">
        <v>147</v>
      </c>
      <c r="C22" s="9" t="s">
        <v>58</v>
      </c>
      <c r="D22" s="9" t="s">
        <v>67</v>
      </c>
      <c r="E22" s="9" t="s">
        <v>171</v>
      </c>
      <c r="F22" s="9" t="s">
        <v>172</v>
      </c>
      <c r="G22" s="9"/>
      <c r="H22" s="9" t="s">
        <v>173</v>
      </c>
      <c r="I22" s="9" t="s">
        <v>72</v>
      </c>
      <c r="J22" s="9" t="s">
        <v>32</v>
      </c>
      <c r="K22" s="9"/>
      <c r="L22" s="9" t="s">
        <v>169</v>
      </c>
      <c r="M22" s="9"/>
      <c r="N22" s="9" t="s">
        <v>39</v>
      </c>
      <c r="O22" s="10"/>
      <c r="P22" s="10"/>
    </row>
    <row r="23" customFormat="false" ht="74.6" hidden="false" customHeight="false" outlineLevel="0" collapsed="false">
      <c r="A23" s="9" t="s">
        <v>174</v>
      </c>
      <c r="B23" s="9" t="s">
        <v>147</v>
      </c>
      <c r="C23" s="9" t="s">
        <v>58</v>
      </c>
      <c r="D23" s="9" t="s">
        <v>67</v>
      </c>
      <c r="E23" s="9" t="s">
        <v>175</v>
      </c>
      <c r="F23" s="9" t="s">
        <v>176</v>
      </c>
      <c r="G23" s="9"/>
      <c r="H23" s="9" t="s">
        <v>177</v>
      </c>
      <c r="I23" s="9" t="s">
        <v>72</v>
      </c>
      <c r="J23" s="9" t="s">
        <v>33</v>
      </c>
      <c r="K23" s="9" t="s">
        <v>178</v>
      </c>
      <c r="L23" s="9" t="s">
        <v>179</v>
      </c>
      <c r="M23" s="9" t="s">
        <v>180</v>
      </c>
      <c r="N23" s="9" t="s">
        <v>39</v>
      </c>
      <c r="O23" s="10"/>
      <c r="P23" s="10"/>
    </row>
    <row r="24" customFormat="false" ht="53.7" hidden="false" customHeight="false" outlineLevel="0" collapsed="false">
      <c r="A24" s="9" t="s">
        <v>181</v>
      </c>
      <c r="B24" s="9" t="s">
        <v>147</v>
      </c>
      <c r="C24" s="9" t="s">
        <v>58</v>
      </c>
      <c r="D24" s="9" t="s">
        <v>67</v>
      </c>
      <c r="E24" s="9" t="s">
        <v>182</v>
      </c>
      <c r="F24" s="9" t="s">
        <v>183</v>
      </c>
      <c r="G24" s="9"/>
      <c r="H24" s="9" t="s">
        <v>184</v>
      </c>
      <c r="I24" s="9" t="s">
        <v>72</v>
      </c>
      <c r="J24" s="9" t="s">
        <v>32</v>
      </c>
      <c r="K24" s="9"/>
      <c r="L24" s="9" t="s">
        <v>169</v>
      </c>
      <c r="M24" s="9"/>
      <c r="N24" s="9" t="s">
        <v>39</v>
      </c>
      <c r="O24" s="10"/>
      <c r="P24" s="10"/>
    </row>
    <row r="25" customFormat="false" ht="43.25" hidden="false" customHeight="false" outlineLevel="0" collapsed="false">
      <c r="A25" s="9" t="s">
        <v>185</v>
      </c>
      <c r="B25" s="9" t="s">
        <v>147</v>
      </c>
      <c r="C25" s="9" t="s">
        <v>58</v>
      </c>
      <c r="D25" s="9" t="s">
        <v>67</v>
      </c>
      <c r="E25" s="9" t="s">
        <v>186</v>
      </c>
      <c r="F25" s="9" t="s">
        <v>187</v>
      </c>
      <c r="G25" s="9"/>
      <c r="H25" s="9" t="s">
        <v>188</v>
      </c>
      <c r="I25" s="9" t="s">
        <v>72</v>
      </c>
      <c r="J25" s="9" t="s">
        <v>33</v>
      </c>
      <c r="K25" s="9" t="s">
        <v>189</v>
      </c>
      <c r="L25" s="9" t="s">
        <v>190</v>
      </c>
      <c r="M25" s="9" t="s">
        <v>191</v>
      </c>
      <c r="N25" s="9" t="s">
        <v>39</v>
      </c>
      <c r="O25" s="10"/>
      <c r="P25" s="10"/>
    </row>
    <row r="26" customFormat="false" ht="85.05" hidden="false" customHeight="false" outlineLevel="0" collapsed="false">
      <c r="A26" s="9" t="s">
        <v>192</v>
      </c>
      <c r="B26" s="9" t="s">
        <v>147</v>
      </c>
      <c r="C26" s="9" t="s">
        <v>58</v>
      </c>
      <c r="D26" s="9" t="s">
        <v>67</v>
      </c>
      <c r="E26" s="9" t="s">
        <v>193</v>
      </c>
      <c r="F26" s="9" t="s">
        <v>194</v>
      </c>
      <c r="G26" s="9" t="s">
        <v>195</v>
      </c>
      <c r="H26" s="9" t="s">
        <v>196</v>
      </c>
      <c r="I26" s="9" t="s">
        <v>72</v>
      </c>
      <c r="J26" s="9" t="s">
        <v>32</v>
      </c>
      <c r="K26" s="9"/>
      <c r="L26" s="9" t="s">
        <v>197</v>
      </c>
      <c r="M26" s="9"/>
      <c r="N26" s="9" t="s">
        <v>39</v>
      </c>
      <c r="O26" s="10"/>
      <c r="P26" s="10"/>
    </row>
    <row r="27" customFormat="false" ht="64.15" hidden="false" customHeight="false" outlineLevel="0" collapsed="false">
      <c r="A27" s="9" t="s">
        <v>198</v>
      </c>
      <c r="B27" s="9" t="s">
        <v>147</v>
      </c>
      <c r="C27" s="9" t="s">
        <v>58</v>
      </c>
      <c r="D27" s="9" t="s">
        <v>67</v>
      </c>
      <c r="E27" s="9" t="s">
        <v>199</v>
      </c>
      <c r="F27" s="9" t="s">
        <v>200</v>
      </c>
      <c r="G27" s="9"/>
      <c r="H27" s="9" t="s">
        <v>201</v>
      </c>
      <c r="I27" s="9" t="s">
        <v>72</v>
      </c>
      <c r="J27" s="9" t="s">
        <v>32</v>
      </c>
      <c r="K27" s="9"/>
      <c r="L27" s="9" t="s">
        <v>71</v>
      </c>
      <c r="M27" s="9"/>
      <c r="N27" s="9" t="s">
        <v>39</v>
      </c>
      <c r="O27" s="10"/>
      <c r="P27" s="10"/>
    </row>
    <row r="28" customFormat="false" ht="64.15" hidden="false" customHeight="false" outlineLevel="0" collapsed="false">
      <c r="A28" s="9" t="s">
        <v>202</v>
      </c>
      <c r="B28" s="9" t="s">
        <v>147</v>
      </c>
      <c r="C28" s="9" t="s">
        <v>58</v>
      </c>
      <c r="D28" s="9" t="s">
        <v>67</v>
      </c>
      <c r="E28" s="9" t="s">
        <v>203</v>
      </c>
      <c r="F28" s="9" t="s">
        <v>204</v>
      </c>
      <c r="G28" s="9"/>
      <c r="H28" s="9" t="s">
        <v>205</v>
      </c>
      <c r="I28" s="9" t="s">
        <v>72</v>
      </c>
      <c r="J28" s="9" t="s">
        <v>32</v>
      </c>
      <c r="K28" s="9"/>
      <c r="L28" s="9" t="s">
        <v>71</v>
      </c>
      <c r="M28" s="9"/>
      <c r="N28" s="9" t="s">
        <v>39</v>
      </c>
      <c r="O28" s="10"/>
      <c r="P28" s="10"/>
    </row>
    <row r="29" customFormat="false" ht="53.7" hidden="false" customHeight="false" outlineLevel="0" collapsed="false">
      <c r="A29" s="9" t="s">
        <v>206</v>
      </c>
      <c r="B29" s="9" t="s">
        <v>147</v>
      </c>
      <c r="C29" s="9" t="s">
        <v>58</v>
      </c>
      <c r="D29" s="9" t="s">
        <v>67</v>
      </c>
      <c r="E29" s="9" t="s">
        <v>207</v>
      </c>
      <c r="F29" s="9" t="s">
        <v>208</v>
      </c>
      <c r="G29" s="9"/>
      <c r="H29" s="9" t="s">
        <v>209</v>
      </c>
      <c r="I29" s="9" t="s">
        <v>72</v>
      </c>
      <c r="J29" s="9" t="s">
        <v>32</v>
      </c>
      <c r="K29" s="9"/>
      <c r="L29" s="9" t="s">
        <v>71</v>
      </c>
      <c r="M29" s="9"/>
      <c r="N29" s="9" t="s">
        <v>39</v>
      </c>
      <c r="O29" s="10"/>
      <c r="P29" s="10"/>
    </row>
    <row r="30" customFormat="false" ht="43.25" hidden="false" customHeight="false" outlineLevel="0" collapsed="false">
      <c r="A30" s="9" t="s">
        <v>210</v>
      </c>
      <c r="B30" s="9" t="s">
        <v>147</v>
      </c>
      <c r="C30" s="9" t="s">
        <v>58</v>
      </c>
      <c r="D30" s="9" t="s">
        <v>67</v>
      </c>
      <c r="E30" s="9" t="s">
        <v>211</v>
      </c>
      <c r="F30" s="9" t="s">
        <v>212</v>
      </c>
      <c r="G30" s="9"/>
      <c r="H30" s="9" t="s">
        <v>213</v>
      </c>
      <c r="I30" s="9" t="s">
        <v>72</v>
      </c>
      <c r="J30" s="9" t="s">
        <v>32</v>
      </c>
      <c r="K30" s="9"/>
      <c r="L30" s="9" t="s">
        <v>214</v>
      </c>
      <c r="M30" s="9"/>
      <c r="N30" s="9" t="s">
        <v>39</v>
      </c>
      <c r="O30" s="10"/>
      <c r="P30" s="10"/>
    </row>
    <row r="31" customFormat="false" ht="64.15" hidden="false" customHeight="false" outlineLevel="0" collapsed="false">
      <c r="A31" s="9" t="s">
        <v>215</v>
      </c>
      <c r="B31" s="9" t="s">
        <v>216</v>
      </c>
      <c r="C31" s="9" t="s">
        <v>58</v>
      </c>
      <c r="D31" s="9" t="s">
        <v>67</v>
      </c>
      <c r="E31" s="9" t="s">
        <v>217</v>
      </c>
      <c r="F31" s="9" t="s">
        <v>218</v>
      </c>
      <c r="G31" s="9"/>
      <c r="H31" s="9" t="s">
        <v>219</v>
      </c>
      <c r="I31" s="9" t="s">
        <v>72</v>
      </c>
      <c r="J31" s="9" t="s">
        <v>32</v>
      </c>
      <c r="K31" s="9" t="s">
        <v>220</v>
      </c>
      <c r="L31" s="9" t="s">
        <v>221</v>
      </c>
      <c r="M31" s="9" t="s">
        <v>222</v>
      </c>
      <c r="N31" s="9" t="s">
        <v>39</v>
      </c>
      <c r="O31" s="10"/>
      <c r="P31" s="10"/>
    </row>
    <row r="32" customFormat="false" ht="64.15" hidden="false" customHeight="false" outlineLevel="0" collapsed="false">
      <c r="A32" s="9" t="s">
        <v>223</v>
      </c>
      <c r="B32" s="9" t="s">
        <v>216</v>
      </c>
      <c r="C32" s="9" t="s">
        <v>58</v>
      </c>
      <c r="D32" s="9" t="s">
        <v>67</v>
      </c>
      <c r="E32" s="9" t="s">
        <v>224</v>
      </c>
      <c r="F32" s="9" t="s">
        <v>225</v>
      </c>
      <c r="G32" s="9" t="s">
        <v>226</v>
      </c>
      <c r="H32" s="9" t="s">
        <v>227</v>
      </c>
      <c r="I32" s="9" t="s">
        <v>72</v>
      </c>
      <c r="J32" s="9" t="s">
        <v>33</v>
      </c>
      <c r="K32" s="9" t="s">
        <v>228</v>
      </c>
      <c r="L32" s="9" t="s">
        <v>229</v>
      </c>
      <c r="M32" s="9" t="s">
        <v>230</v>
      </c>
      <c r="N32" s="9" t="s">
        <v>40</v>
      </c>
      <c r="O32" s="10"/>
      <c r="P32" s="10"/>
    </row>
    <row r="33" customFormat="false" ht="64.15" hidden="false" customHeight="false" outlineLevel="0" collapsed="false">
      <c r="A33" s="9" t="s">
        <v>231</v>
      </c>
      <c r="B33" s="9" t="s">
        <v>216</v>
      </c>
      <c r="C33" s="9" t="s">
        <v>58</v>
      </c>
      <c r="D33" s="9" t="s">
        <v>67</v>
      </c>
      <c r="E33" s="9" t="s">
        <v>232</v>
      </c>
      <c r="F33" s="9" t="s">
        <v>233</v>
      </c>
      <c r="G33" s="9"/>
      <c r="H33" s="9" t="s">
        <v>234</v>
      </c>
      <c r="I33" s="9" t="s">
        <v>72</v>
      </c>
      <c r="J33" s="9" t="s">
        <v>33</v>
      </c>
      <c r="K33" s="9" t="s">
        <v>235</v>
      </c>
      <c r="L33" s="9" t="s">
        <v>236</v>
      </c>
      <c r="M33" s="9"/>
      <c r="N33" s="9" t="s">
        <v>40</v>
      </c>
      <c r="O33" s="10"/>
      <c r="P33" s="10"/>
    </row>
    <row r="34" customFormat="false" ht="85.05" hidden="false" customHeight="false" outlineLevel="0" collapsed="false">
      <c r="A34" s="9" t="s">
        <v>237</v>
      </c>
      <c r="B34" s="9" t="s">
        <v>216</v>
      </c>
      <c r="C34" s="9" t="s">
        <v>58</v>
      </c>
      <c r="D34" s="9" t="s">
        <v>67</v>
      </c>
      <c r="E34" s="9" t="s">
        <v>238</v>
      </c>
      <c r="F34" s="9" t="s">
        <v>239</v>
      </c>
      <c r="G34" s="9"/>
      <c r="H34" s="9" t="s">
        <v>240</v>
      </c>
      <c r="I34" s="9" t="s">
        <v>72</v>
      </c>
      <c r="J34" s="9" t="s">
        <v>32</v>
      </c>
      <c r="K34" s="9"/>
      <c r="L34" s="9" t="s">
        <v>241</v>
      </c>
      <c r="M34" s="9"/>
      <c r="N34" s="9" t="s">
        <v>39</v>
      </c>
      <c r="O34" s="10"/>
      <c r="P34" s="10"/>
    </row>
    <row r="35" customFormat="false" ht="64.15" hidden="false" customHeight="false" outlineLevel="0" collapsed="false">
      <c r="A35" s="9" t="s">
        <v>242</v>
      </c>
      <c r="B35" s="9" t="s">
        <v>216</v>
      </c>
      <c r="C35" s="9" t="s">
        <v>58</v>
      </c>
      <c r="D35" s="9" t="s">
        <v>67</v>
      </c>
      <c r="E35" s="9" t="s">
        <v>243</v>
      </c>
      <c r="F35" s="9" t="s">
        <v>244</v>
      </c>
      <c r="G35" s="9"/>
      <c r="H35" s="9" t="s">
        <v>245</v>
      </c>
      <c r="I35" s="9" t="s">
        <v>72</v>
      </c>
      <c r="J35" s="9" t="s">
        <v>32</v>
      </c>
      <c r="K35" s="9"/>
      <c r="L35" s="9" t="s">
        <v>246</v>
      </c>
      <c r="M35" s="9"/>
      <c r="N35" s="9" t="s">
        <v>39</v>
      </c>
      <c r="O35" s="10"/>
      <c r="P35" s="10"/>
    </row>
    <row r="36" customFormat="false" ht="53.7" hidden="false" customHeight="false" outlineLevel="0" collapsed="false">
      <c r="A36" s="9" t="s">
        <v>247</v>
      </c>
      <c r="B36" s="9" t="s">
        <v>216</v>
      </c>
      <c r="C36" s="9" t="s">
        <v>58</v>
      </c>
      <c r="D36" s="9" t="s">
        <v>67</v>
      </c>
      <c r="E36" s="9" t="s">
        <v>248</v>
      </c>
      <c r="F36" s="9" t="s">
        <v>249</v>
      </c>
      <c r="G36" s="9"/>
      <c r="H36" s="9" t="s">
        <v>250</v>
      </c>
      <c r="I36" s="9" t="s">
        <v>72</v>
      </c>
      <c r="J36" s="9" t="s">
        <v>32</v>
      </c>
      <c r="K36" s="9"/>
      <c r="L36" s="9" t="s">
        <v>246</v>
      </c>
      <c r="M36" s="9"/>
      <c r="N36" s="9" t="s">
        <v>39</v>
      </c>
      <c r="O36" s="10"/>
      <c r="P36" s="10"/>
    </row>
    <row r="37" customFormat="false" ht="64.15" hidden="false" customHeight="false" outlineLevel="0" collapsed="false">
      <c r="A37" s="9" t="s">
        <v>251</v>
      </c>
      <c r="B37" s="9" t="s">
        <v>216</v>
      </c>
      <c r="C37" s="9" t="s">
        <v>58</v>
      </c>
      <c r="D37" s="9" t="s">
        <v>67</v>
      </c>
      <c r="E37" s="9" t="s">
        <v>252</v>
      </c>
      <c r="F37" s="9" t="s">
        <v>253</v>
      </c>
      <c r="G37" s="9" t="s">
        <v>254</v>
      </c>
      <c r="H37" s="9" t="s">
        <v>255</v>
      </c>
      <c r="I37" s="9" t="s">
        <v>72</v>
      </c>
      <c r="J37" s="9" t="s">
        <v>33</v>
      </c>
      <c r="K37" s="9" t="s">
        <v>256</v>
      </c>
      <c r="L37" s="9" t="s">
        <v>257</v>
      </c>
      <c r="M37" s="9" t="s">
        <v>258</v>
      </c>
      <c r="N37" s="9" t="s">
        <v>38</v>
      </c>
      <c r="O37" s="10"/>
      <c r="P37" s="10"/>
    </row>
    <row r="38" customFormat="false" ht="53.7" hidden="false" customHeight="false" outlineLevel="0" collapsed="false">
      <c r="A38" s="9" t="s">
        <v>259</v>
      </c>
      <c r="B38" s="9" t="s">
        <v>216</v>
      </c>
      <c r="C38" s="9" t="s">
        <v>58</v>
      </c>
      <c r="D38" s="9" t="s">
        <v>67</v>
      </c>
      <c r="E38" s="9" t="s">
        <v>260</v>
      </c>
      <c r="F38" s="9" t="s">
        <v>261</v>
      </c>
      <c r="G38" s="9"/>
      <c r="H38" s="9" t="s">
        <v>262</v>
      </c>
      <c r="I38" s="9" t="s">
        <v>72</v>
      </c>
      <c r="J38" s="9" t="s">
        <v>33</v>
      </c>
      <c r="K38" s="9" t="s">
        <v>263</v>
      </c>
      <c r="L38" s="9" t="s">
        <v>264</v>
      </c>
      <c r="M38" s="9"/>
      <c r="N38" s="9" t="s">
        <v>38</v>
      </c>
      <c r="O38" s="10"/>
      <c r="P38" s="10"/>
    </row>
    <row r="39" customFormat="false" ht="64.15" hidden="false" customHeight="false" outlineLevel="0" collapsed="false">
      <c r="A39" s="9" t="s">
        <v>265</v>
      </c>
      <c r="B39" s="9" t="s">
        <v>216</v>
      </c>
      <c r="C39" s="9" t="s">
        <v>58</v>
      </c>
      <c r="D39" s="9" t="s">
        <v>67</v>
      </c>
      <c r="E39" s="9" t="s">
        <v>266</v>
      </c>
      <c r="F39" s="9" t="s">
        <v>267</v>
      </c>
      <c r="G39" s="9"/>
      <c r="H39" s="9" t="s">
        <v>268</v>
      </c>
      <c r="I39" s="9" t="s">
        <v>72</v>
      </c>
      <c r="J39" s="9" t="s">
        <v>32</v>
      </c>
      <c r="K39" s="9"/>
      <c r="L39" s="9" t="s">
        <v>269</v>
      </c>
      <c r="M39" s="9"/>
      <c r="N39" s="9" t="s">
        <v>39</v>
      </c>
      <c r="O39" s="10"/>
      <c r="P39" s="10"/>
    </row>
    <row r="40" customFormat="false" ht="53.7" hidden="false" customHeight="false" outlineLevel="0" collapsed="false">
      <c r="A40" s="9" t="s">
        <v>270</v>
      </c>
      <c r="B40" s="9" t="s">
        <v>216</v>
      </c>
      <c r="C40" s="9" t="s">
        <v>58</v>
      </c>
      <c r="D40" s="9" t="s">
        <v>67</v>
      </c>
      <c r="E40" s="9" t="s">
        <v>271</v>
      </c>
      <c r="F40" s="9" t="s">
        <v>272</v>
      </c>
      <c r="G40" s="9" t="s">
        <v>273</v>
      </c>
      <c r="H40" s="9" t="s">
        <v>274</v>
      </c>
      <c r="I40" s="9" t="s">
        <v>72</v>
      </c>
      <c r="J40" s="9" t="s">
        <v>33</v>
      </c>
      <c r="K40" s="9" t="s">
        <v>275</v>
      </c>
      <c r="L40" s="9" t="s">
        <v>276</v>
      </c>
      <c r="M40" s="9" t="s">
        <v>277</v>
      </c>
      <c r="N40" s="9" t="s">
        <v>38</v>
      </c>
      <c r="O40" s="10"/>
      <c r="P40" s="10"/>
    </row>
    <row r="41" customFormat="false" ht="64.15" hidden="false" customHeight="false" outlineLevel="0" collapsed="false">
      <c r="A41" s="9" t="s">
        <v>278</v>
      </c>
      <c r="B41" s="9" t="s">
        <v>216</v>
      </c>
      <c r="C41" s="9" t="s">
        <v>58</v>
      </c>
      <c r="D41" s="9" t="s">
        <v>67</v>
      </c>
      <c r="E41" s="9" t="s">
        <v>279</v>
      </c>
      <c r="F41" s="9" t="s">
        <v>280</v>
      </c>
      <c r="G41" s="9"/>
      <c r="H41" s="9" t="s">
        <v>281</v>
      </c>
      <c r="I41" s="9" t="s">
        <v>72</v>
      </c>
      <c r="J41" s="9" t="s">
        <v>32</v>
      </c>
      <c r="K41" s="9" t="s">
        <v>282</v>
      </c>
      <c r="L41" s="9" t="s">
        <v>283</v>
      </c>
      <c r="M41" s="9"/>
      <c r="N41" s="9" t="s">
        <v>39</v>
      </c>
      <c r="O41" s="10"/>
      <c r="P41" s="10"/>
    </row>
    <row r="42" customFormat="false" ht="43.25" hidden="false" customHeight="false" outlineLevel="0" collapsed="false">
      <c r="A42" s="9" t="s">
        <v>284</v>
      </c>
      <c r="B42" s="9" t="s">
        <v>216</v>
      </c>
      <c r="C42" s="9" t="s">
        <v>58</v>
      </c>
      <c r="D42" s="9" t="s">
        <v>67</v>
      </c>
      <c r="E42" s="9" t="s">
        <v>285</v>
      </c>
      <c r="F42" s="9" t="s">
        <v>286</v>
      </c>
      <c r="G42" s="9"/>
      <c r="H42" s="9" t="s">
        <v>234</v>
      </c>
      <c r="I42" s="9" t="s">
        <v>72</v>
      </c>
      <c r="J42" s="9" t="s">
        <v>32</v>
      </c>
      <c r="K42" s="9"/>
      <c r="L42" s="9" t="s">
        <v>287</v>
      </c>
      <c r="M42" s="9"/>
      <c r="N42" s="9" t="s">
        <v>39</v>
      </c>
      <c r="O42" s="10"/>
      <c r="P42" s="10"/>
    </row>
    <row r="43" customFormat="false" ht="43.25" hidden="false" customHeight="false" outlineLevel="0" collapsed="false">
      <c r="A43" s="9" t="s">
        <v>288</v>
      </c>
      <c r="B43" s="9" t="s">
        <v>216</v>
      </c>
      <c r="C43" s="9" t="s">
        <v>58</v>
      </c>
      <c r="D43" s="9" t="s">
        <v>67</v>
      </c>
      <c r="E43" s="9" t="s">
        <v>289</v>
      </c>
      <c r="F43" s="9" t="s">
        <v>290</v>
      </c>
      <c r="G43" s="9"/>
      <c r="H43" s="9" t="s">
        <v>291</v>
      </c>
      <c r="I43" s="9" t="s">
        <v>72</v>
      </c>
      <c r="J43" s="9" t="s">
        <v>32</v>
      </c>
      <c r="K43" s="9"/>
      <c r="L43" s="9" t="s">
        <v>246</v>
      </c>
      <c r="M43" s="9"/>
      <c r="N43" s="9" t="s">
        <v>39</v>
      </c>
      <c r="O43" s="10"/>
      <c r="P43" s="10"/>
    </row>
    <row r="44" customFormat="false" ht="74.6" hidden="false" customHeight="false" outlineLevel="0" collapsed="false">
      <c r="A44" s="9" t="s">
        <v>292</v>
      </c>
      <c r="B44" s="9" t="s">
        <v>216</v>
      </c>
      <c r="C44" s="9" t="s">
        <v>58</v>
      </c>
      <c r="D44" s="9" t="s">
        <v>67</v>
      </c>
      <c r="E44" s="9" t="s">
        <v>293</v>
      </c>
      <c r="F44" s="9" t="s">
        <v>294</v>
      </c>
      <c r="G44" s="9"/>
      <c r="H44" s="9" t="s">
        <v>295</v>
      </c>
      <c r="I44" s="9" t="s">
        <v>72</v>
      </c>
      <c r="J44" s="9" t="s">
        <v>32</v>
      </c>
      <c r="K44" s="9"/>
      <c r="L44" s="9" t="s">
        <v>296</v>
      </c>
      <c r="M44" s="9"/>
      <c r="N44" s="9" t="s">
        <v>39</v>
      </c>
      <c r="O44" s="10"/>
      <c r="P44" s="10"/>
    </row>
    <row r="45" customFormat="false" ht="85.05" hidden="false" customHeight="false" outlineLevel="0" collapsed="false">
      <c r="A45" s="9" t="s">
        <v>297</v>
      </c>
      <c r="B45" s="9" t="s">
        <v>298</v>
      </c>
      <c r="C45" s="9" t="s">
        <v>58</v>
      </c>
      <c r="D45" s="9" t="s">
        <v>67</v>
      </c>
      <c r="E45" s="9" t="s">
        <v>299</v>
      </c>
      <c r="F45" s="9" t="s">
        <v>300</v>
      </c>
      <c r="G45" s="9" t="s">
        <v>301</v>
      </c>
      <c r="H45" s="9" t="s">
        <v>302</v>
      </c>
      <c r="I45" s="9" t="s">
        <v>72</v>
      </c>
      <c r="J45" s="9" t="s">
        <v>33</v>
      </c>
      <c r="K45" s="9" t="s">
        <v>303</v>
      </c>
      <c r="L45" s="9" t="s">
        <v>304</v>
      </c>
      <c r="M45" s="9" t="s">
        <v>305</v>
      </c>
      <c r="N45" s="9" t="s">
        <v>39</v>
      </c>
      <c r="O45" s="10"/>
      <c r="P45" s="10"/>
    </row>
    <row r="46" customFormat="false" ht="53.7" hidden="false" customHeight="false" outlineLevel="0" collapsed="false">
      <c r="A46" s="9" t="s">
        <v>306</v>
      </c>
      <c r="B46" s="9" t="s">
        <v>298</v>
      </c>
      <c r="C46" s="9" t="s">
        <v>58</v>
      </c>
      <c r="D46" s="9" t="s">
        <v>67</v>
      </c>
      <c r="E46" s="9" t="s">
        <v>307</v>
      </c>
      <c r="F46" s="9" t="s">
        <v>308</v>
      </c>
      <c r="G46" s="9" t="s">
        <v>309</v>
      </c>
      <c r="H46" s="9" t="s">
        <v>310</v>
      </c>
      <c r="I46" s="9" t="s">
        <v>72</v>
      </c>
      <c r="J46" s="9" t="s">
        <v>32</v>
      </c>
      <c r="K46" s="9" t="s">
        <v>311</v>
      </c>
      <c r="L46" s="9" t="s">
        <v>312</v>
      </c>
      <c r="M46" s="9"/>
      <c r="N46" s="9" t="s">
        <v>39</v>
      </c>
      <c r="O46" s="10"/>
      <c r="P46" s="10"/>
    </row>
    <row r="47" customFormat="false" ht="85.05" hidden="false" customHeight="false" outlineLevel="0" collapsed="false">
      <c r="A47" s="9" t="s">
        <v>313</v>
      </c>
      <c r="B47" s="9" t="s">
        <v>298</v>
      </c>
      <c r="C47" s="9" t="s">
        <v>58</v>
      </c>
      <c r="D47" s="9" t="s">
        <v>67</v>
      </c>
      <c r="E47" s="9" t="s">
        <v>314</v>
      </c>
      <c r="F47" s="9" t="s">
        <v>315</v>
      </c>
      <c r="G47" s="9" t="s">
        <v>316</v>
      </c>
      <c r="H47" s="9" t="s">
        <v>317</v>
      </c>
      <c r="I47" s="9" t="s">
        <v>72</v>
      </c>
      <c r="J47" s="9" t="s">
        <v>32</v>
      </c>
      <c r="K47" s="9"/>
      <c r="L47" s="9" t="s">
        <v>318</v>
      </c>
      <c r="M47" s="9" t="s">
        <v>319</v>
      </c>
      <c r="N47" s="9" t="s">
        <v>38</v>
      </c>
      <c r="O47" s="10"/>
      <c r="P47" s="10"/>
    </row>
    <row r="48" customFormat="false" ht="64.15" hidden="false" customHeight="false" outlineLevel="0" collapsed="false">
      <c r="A48" s="9" t="s">
        <v>320</v>
      </c>
      <c r="B48" s="9" t="s">
        <v>298</v>
      </c>
      <c r="C48" s="9" t="s">
        <v>58</v>
      </c>
      <c r="D48" s="9" t="s">
        <v>67</v>
      </c>
      <c r="E48" s="9" t="s">
        <v>321</v>
      </c>
      <c r="F48" s="9" t="s">
        <v>322</v>
      </c>
      <c r="G48" s="9"/>
      <c r="H48" s="9" t="s">
        <v>323</v>
      </c>
      <c r="I48" s="9" t="s">
        <v>72</v>
      </c>
      <c r="J48" s="9" t="s">
        <v>32</v>
      </c>
      <c r="K48" s="9" t="s">
        <v>324</v>
      </c>
      <c r="L48" s="9" t="s">
        <v>325</v>
      </c>
      <c r="M48" s="9"/>
      <c r="N48" s="9" t="s">
        <v>39</v>
      </c>
      <c r="O48" s="10"/>
      <c r="P48" s="10"/>
    </row>
    <row r="49" customFormat="false" ht="53.7" hidden="false" customHeight="false" outlineLevel="0" collapsed="false">
      <c r="A49" s="9" t="s">
        <v>326</v>
      </c>
      <c r="B49" s="9" t="s">
        <v>298</v>
      </c>
      <c r="C49" s="9" t="s">
        <v>58</v>
      </c>
      <c r="D49" s="9" t="s">
        <v>67</v>
      </c>
      <c r="E49" s="9" t="s">
        <v>327</v>
      </c>
      <c r="F49" s="9" t="s">
        <v>328</v>
      </c>
      <c r="G49" s="9"/>
      <c r="H49" s="9" t="s">
        <v>329</v>
      </c>
      <c r="I49" s="9" t="s">
        <v>72</v>
      </c>
      <c r="J49" s="9" t="s">
        <v>32</v>
      </c>
      <c r="K49" s="9"/>
      <c r="L49" s="9" t="s">
        <v>330</v>
      </c>
      <c r="M49" s="9"/>
      <c r="N49" s="9" t="s">
        <v>39</v>
      </c>
      <c r="O49" s="10"/>
      <c r="P49" s="10"/>
    </row>
    <row r="50" customFormat="false" ht="74.6" hidden="false" customHeight="false" outlineLevel="0" collapsed="false">
      <c r="A50" s="9" t="s">
        <v>331</v>
      </c>
      <c r="B50" s="9" t="s">
        <v>298</v>
      </c>
      <c r="C50" s="9" t="s">
        <v>58</v>
      </c>
      <c r="D50" s="9" t="s">
        <v>67</v>
      </c>
      <c r="E50" s="9" t="s">
        <v>332</v>
      </c>
      <c r="F50" s="9" t="s">
        <v>333</v>
      </c>
      <c r="G50" s="9"/>
      <c r="H50" s="9" t="s">
        <v>334</v>
      </c>
      <c r="I50" s="9" t="s">
        <v>72</v>
      </c>
      <c r="J50" s="9" t="s">
        <v>32</v>
      </c>
      <c r="K50" s="9" t="s">
        <v>335</v>
      </c>
      <c r="L50" s="9" t="s">
        <v>336</v>
      </c>
      <c r="M50" s="9"/>
      <c r="N50" s="9" t="s">
        <v>39</v>
      </c>
      <c r="O50" s="10"/>
      <c r="P50" s="10"/>
    </row>
    <row r="51" customFormat="false" ht="53.7" hidden="false" customHeight="false" outlineLevel="0" collapsed="false">
      <c r="A51" s="9" t="s">
        <v>337</v>
      </c>
      <c r="B51" s="9" t="s">
        <v>298</v>
      </c>
      <c r="C51" s="9" t="s">
        <v>58</v>
      </c>
      <c r="D51" s="9" t="s">
        <v>67</v>
      </c>
      <c r="E51" s="9" t="s">
        <v>338</v>
      </c>
      <c r="F51" s="9" t="s">
        <v>339</v>
      </c>
      <c r="G51" s="9" t="s">
        <v>340</v>
      </c>
      <c r="H51" s="9" t="s">
        <v>334</v>
      </c>
      <c r="I51" s="9" t="s">
        <v>72</v>
      </c>
      <c r="J51" s="9" t="s">
        <v>33</v>
      </c>
      <c r="K51" s="9" t="s">
        <v>341</v>
      </c>
      <c r="L51" s="9" t="s">
        <v>342</v>
      </c>
      <c r="M51" s="9" t="s">
        <v>343</v>
      </c>
      <c r="N51" s="9" t="s">
        <v>39</v>
      </c>
      <c r="O51" s="10"/>
      <c r="P51" s="10"/>
    </row>
    <row r="52" customFormat="false" ht="74.6" hidden="false" customHeight="false" outlineLevel="0" collapsed="false">
      <c r="A52" s="9" t="s">
        <v>344</v>
      </c>
      <c r="B52" s="9" t="s">
        <v>298</v>
      </c>
      <c r="C52" s="9" t="s">
        <v>58</v>
      </c>
      <c r="D52" s="9" t="s">
        <v>67</v>
      </c>
      <c r="E52" s="9" t="s">
        <v>345</v>
      </c>
      <c r="F52" s="9" t="s">
        <v>346</v>
      </c>
      <c r="G52" s="9" t="s">
        <v>347</v>
      </c>
      <c r="H52" s="9" t="s">
        <v>348</v>
      </c>
      <c r="I52" s="9" t="s">
        <v>72</v>
      </c>
      <c r="J52" s="9" t="s">
        <v>32</v>
      </c>
      <c r="K52" s="9"/>
      <c r="L52" s="9" t="s">
        <v>349</v>
      </c>
      <c r="M52" s="9"/>
      <c r="N52" s="9" t="s">
        <v>39</v>
      </c>
      <c r="O52" s="10"/>
      <c r="P52" s="10"/>
    </row>
    <row r="53" customFormat="false" ht="64.15" hidden="false" customHeight="false" outlineLevel="0" collapsed="false">
      <c r="A53" s="9" t="s">
        <v>350</v>
      </c>
      <c r="B53" s="9" t="s">
        <v>298</v>
      </c>
      <c r="C53" s="9" t="s">
        <v>58</v>
      </c>
      <c r="D53" s="9" t="s">
        <v>67</v>
      </c>
      <c r="E53" s="9" t="s">
        <v>351</v>
      </c>
      <c r="F53" s="9" t="s">
        <v>352</v>
      </c>
      <c r="G53" s="9"/>
      <c r="H53" s="9" t="s">
        <v>329</v>
      </c>
      <c r="I53" s="9" t="s">
        <v>72</v>
      </c>
      <c r="J53" s="9" t="s">
        <v>33</v>
      </c>
      <c r="K53" s="9" t="s">
        <v>353</v>
      </c>
      <c r="L53" s="9" t="s">
        <v>354</v>
      </c>
      <c r="M53" s="9"/>
      <c r="N53" s="9" t="s">
        <v>39</v>
      </c>
      <c r="O53" s="10"/>
      <c r="P53" s="10"/>
    </row>
    <row r="54" customFormat="false" ht="85.05" hidden="false" customHeight="false" outlineLevel="0" collapsed="false">
      <c r="A54" s="9" t="s">
        <v>355</v>
      </c>
      <c r="B54" s="9" t="s">
        <v>298</v>
      </c>
      <c r="C54" s="9" t="s">
        <v>58</v>
      </c>
      <c r="D54" s="9" t="s">
        <v>67</v>
      </c>
      <c r="E54" s="9" t="s">
        <v>356</v>
      </c>
      <c r="F54" s="9" t="s">
        <v>357</v>
      </c>
      <c r="G54" s="9"/>
      <c r="H54" s="9" t="s">
        <v>358</v>
      </c>
      <c r="I54" s="9" t="s">
        <v>72</v>
      </c>
      <c r="J54" s="9" t="s">
        <v>32</v>
      </c>
      <c r="K54" s="9"/>
      <c r="L54" s="9" t="s">
        <v>359</v>
      </c>
      <c r="M54" s="9"/>
      <c r="N54" s="9" t="s">
        <v>39</v>
      </c>
      <c r="O54" s="10"/>
      <c r="P54" s="10"/>
    </row>
    <row r="55" customFormat="false" ht="53.7" hidden="false" customHeight="false" outlineLevel="0" collapsed="false">
      <c r="A55" s="9" t="s">
        <v>360</v>
      </c>
      <c r="B55" s="9" t="s">
        <v>298</v>
      </c>
      <c r="C55" s="9" t="s">
        <v>58</v>
      </c>
      <c r="D55" s="9" t="s">
        <v>67</v>
      </c>
      <c r="E55" s="9" t="s">
        <v>361</v>
      </c>
      <c r="F55" s="9" t="s">
        <v>362</v>
      </c>
      <c r="G55" s="9"/>
      <c r="H55" s="9" t="s">
        <v>363</v>
      </c>
      <c r="I55" s="9" t="s">
        <v>72</v>
      </c>
      <c r="J55" s="9" t="s">
        <v>32</v>
      </c>
      <c r="K55" s="9"/>
      <c r="L55" s="9" t="s">
        <v>364</v>
      </c>
      <c r="M55" s="9"/>
      <c r="N55" s="9" t="s">
        <v>39</v>
      </c>
      <c r="O55" s="10"/>
      <c r="P55" s="10"/>
    </row>
    <row r="56" customFormat="false" ht="43.25" hidden="false" customHeight="false" outlineLevel="0" collapsed="false">
      <c r="A56" s="9" t="s">
        <v>365</v>
      </c>
      <c r="B56" s="9" t="s">
        <v>298</v>
      </c>
      <c r="C56" s="9" t="s">
        <v>58</v>
      </c>
      <c r="D56" s="9" t="s">
        <v>67</v>
      </c>
      <c r="E56" s="9" t="s">
        <v>366</v>
      </c>
      <c r="F56" s="9" t="s">
        <v>367</v>
      </c>
      <c r="G56" s="9"/>
      <c r="H56" s="9" t="s">
        <v>329</v>
      </c>
      <c r="I56" s="9" t="s">
        <v>72</v>
      </c>
      <c r="J56" s="9" t="s">
        <v>32</v>
      </c>
      <c r="K56" s="9"/>
      <c r="L56" s="9" t="s">
        <v>368</v>
      </c>
      <c r="M56" s="9"/>
      <c r="N56" s="9" t="s">
        <v>39</v>
      </c>
      <c r="O56" s="10"/>
      <c r="P56" s="10"/>
    </row>
    <row r="57" customFormat="false" ht="32.8" hidden="false" customHeight="false" outlineLevel="0" collapsed="false">
      <c r="A57" s="9" t="s">
        <v>369</v>
      </c>
      <c r="B57" s="9" t="s">
        <v>298</v>
      </c>
      <c r="C57" s="9" t="s">
        <v>58</v>
      </c>
      <c r="D57" s="9" t="s">
        <v>67</v>
      </c>
      <c r="E57" s="9" t="s">
        <v>370</v>
      </c>
      <c r="F57" s="9" t="s">
        <v>371</v>
      </c>
      <c r="G57" s="9"/>
      <c r="H57" s="9" t="s">
        <v>329</v>
      </c>
      <c r="I57" s="9" t="s">
        <v>72</v>
      </c>
      <c r="J57" s="9" t="s">
        <v>32</v>
      </c>
      <c r="K57" s="9"/>
      <c r="L57" s="9" t="s">
        <v>372</v>
      </c>
      <c r="M57" s="9"/>
      <c r="N57" s="9" t="s">
        <v>39</v>
      </c>
      <c r="O57" s="10"/>
      <c r="P57" s="10"/>
    </row>
    <row r="58" customFormat="false" ht="64.15" hidden="false" customHeight="false" outlineLevel="0" collapsed="false">
      <c r="A58" s="9" t="s">
        <v>373</v>
      </c>
      <c r="B58" s="9" t="s">
        <v>374</v>
      </c>
      <c r="C58" s="9" t="s">
        <v>58</v>
      </c>
      <c r="D58" s="9" t="s">
        <v>67</v>
      </c>
      <c r="E58" s="9" t="s">
        <v>375</v>
      </c>
      <c r="F58" s="9" t="s">
        <v>376</v>
      </c>
      <c r="G58" s="9"/>
      <c r="H58" s="9" t="s">
        <v>377</v>
      </c>
      <c r="I58" s="9" t="s">
        <v>72</v>
      </c>
      <c r="J58" s="9" t="s">
        <v>32</v>
      </c>
      <c r="K58" s="9"/>
      <c r="L58" s="9" t="s">
        <v>378</v>
      </c>
      <c r="M58" s="9"/>
      <c r="N58" s="9" t="s">
        <v>39</v>
      </c>
      <c r="O58" s="10"/>
      <c r="P58" s="10"/>
    </row>
    <row r="59" customFormat="false" ht="43.25" hidden="false" customHeight="false" outlineLevel="0" collapsed="false">
      <c r="A59" s="9" t="s">
        <v>379</v>
      </c>
      <c r="B59" s="9" t="s">
        <v>374</v>
      </c>
      <c r="C59" s="9" t="s">
        <v>58</v>
      </c>
      <c r="D59" s="9" t="s">
        <v>67</v>
      </c>
      <c r="E59" s="9" t="s">
        <v>380</v>
      </c>
      <c r="F59" s="9" t="s">
        <v>381</v>
      </c>
      <c r="G59" s="9" t="s">
        <v>382</v>
      </c>
      <c r="H59" s="9" t="s">
        <v>377</v>
      </c>
      <c r="I59" s="9" t="s">
        <v>72</v>
      </c>
      <c r="J59" s="9" t="s">
        <v>33</v>
      </c>
      <c r="K59" s="9" t="s">
        <v>383</v>
      </c>
      <c r="L59" s="9" t="s">
        <v>384</v>
      </c>
      <c r="M59" s="9" t="s">
        <v>385</v>
      </c>
      <c r="N59" s="9" t="s">
        <v>39</v>
      </c>
      <c r="O59" s="10"/>
      <c r="P59" s="10"/>
    </row>
    <row r="60" customFormat="false" ht="53.7" hidden="false" customHeight="false" outlineLevel="0" collapsed="false">
      <c r="A60" s="9" t="s">
        <v>386</v>
      </c>
      <c r="B60" s="9" t="s">
        <v>374</v>
      </c>
      <c r="C60" s="9" t="s">
        <v>58</v>
      </c>
      <c r="D60" s="9" t="s">
        <v>67</v>
      </c>
      <c r="E60" s="9" t="s">
        <v>387</v>
      </c>
      <c r="F60" s="9" t="s">
        <v>388</v>
      </c>
      <c r="G60" s="9" t="s">
        <v>389</v>
      </c>
      <c r="H60" s="9" t="s">
        <v>377</v>
      </c>
      <c r="I60" s="9" t="s">
        <v>72</v>
      </c>
      <c r="J60" s="9" t="s">
        <v>32</v>
      </c>
      <c r="K60" s="9" t="s">
        <v>144</v>
      </c>
      <c r="L60" s="9" t="s">
        <v>390</v>
      </c>
      <c r="M60" s="9" t="s">
        <v>391</v>
      </c>
      <c r="N60" s="9" t="s">
        <v>38</v>
      </c>
      <c r="O60" s="10"/>
      <c r="P60" s="10"/>
    </row>
    <row r="61" customFormat="false" ht="53.7" hidden="false" customHeight="false" outlineLevel="0" collapsed="false">
      <c r="A61" s="9" t="s">
        <v>392</v>
      </c>
      <c r="B61" s="9" t="s">
        <v>374</v>
      </c>
      <c r="C61" s="9" t="s">
        <v>58</v>
      </c>
      <c r="D61" s="9" t="s">
        <v>67</v>
      </c>
      <c r="E61" s="9" t="s">
        <v>393</v>
      </c>
      <c r="F61" s="9" t="s">
        <v>394</v>
      </c>
      <c r="G61" s="9" t="s">
        <v>395</v>
      </c>
      <c r="H61" s="9" t="s">
        <v>329</v>
      </c>
      <c r="I61" s="9" t="s">
        <v>72</v>
      </c>
      <c r="J61" s="9" t="s">
        <v>33</v>
      </c>
      <c r="K61" s="9" t="s">
        <v>396</v>
      </c>
      <c r="L61" s="9" t="s">
        <v>397</v>
      </c>
      <c r="M61" s="9" t="s">
        <v>398</v>
      </c>
      <c r="N61" s="9" t="s">
        <v>38</v>
      </c>
      <c r="O61" s="10"/>
      <c r="P61" s="10"/>
    </row>
    <row r="62" customFormat="false" ht="53.7" hidden="false" customHeight="false" outlineLevel="0" collapsed="false">
      <c r="A62" s="9" t="s">
        <v>399</v>
      </c>
      <c r="B62" s="9" t="s">
        <v>374</v>
      </c>
      <c r="C62" s="9" t="s">
        <v>58</v>
      </c>
      <c r="D62" s="9" t="s">
        <v>67</v>
      </c>
      <c r="E62" s="9" t="s">
        <v>400</v>
      </c>
      <c r="F62" s="9" t="s">
        <v>401</v>
      </c>
      <c r="G62" s="9"/>
      <c r="H62" s="9" t="s">
        <v>329</v>
      </c>
      <c r="I62" s="9" t="s">
        <v>72</v>
      </c>
      <c r="J62" s="9" t="s">
        <v>32</v>
      </c>
      <c r="K62" s="9"/>
      <c r="L62" s="9" t="s">
        <v>402</v>
      </c>
      <c r="M62" s="9"/>
      <c r="N62" s="9" t="s">
        <v>38</v>
      </c>
      <c r="O62" s="10"/>
      <c r="P62" s="10"/>
    </row>
    <row r="63" customFormat="false" ht="64.15" hidden="false" customHeight="false" outlineLevel="0" collapsed="false">
      <c r="A63" s="9" t="s">
        <v>403</v>
      </c>
      <c r="B63" s="9" t="s">
        <v>374</v>
      </c>
      <c r="C63" s="9" t="s">
        <v>58</v>
      </c>
      <c r="D63" s="9" t="s">
        <v>67</v>
      </c>
      <c r="E63" s="9" t="s">
        <v>404</v>
      </c>
      <c r="F63" s="9" t="s">
        <v>405</v>
      </c>
      <c r="G63" s="9"/>
      <c r="H63" s="9" t="s">
        <v>377</v>
      </c>
      <c r="I63" s="9" t="s">
        <v>72</v>
      </c>
      <c r="J63" s="9" t="s">
        <v>32</v>
      </c>
      <c r="K63" s="9"/>
      <c r="L63" s="9" t="s">
        <v>406</v>
      </c>
      <c r="M63" s="9"/>
      <c r="N63" s="9" t="s">
        <v>39</v>
      </c>
      <c r="O63" s="10"/>
      <c r="P63" s="10"/>
    </row>
    <row r="64" customFormat="false" ht="53.7" hidden="false" customHeight="false" outlineLevel="0" collapsed="false">
      <c r="A64" s="9" t="s">
        <v>407</v>
      </c>
      <c r="B64" s="9" t="s">
        <v>374</v>
      </c>
      <c r="C64" s="9" t="s">
        <v>58</v>
      </c>
      <c r="D64" s="9" t="s">
        <v>67</v>
      </c>
      <c r="E64" s="9" t="s">
        <v>408</v>
      </c>
      <c r="F64" s="9" t="s">
        <v>409</v>
      </c>
      <c r="G64" s="9"/>
      <c r="H64" s="9" t="s">
        <v>377</v>
      </c>
      <c r="I64" s="9" t="s">
        <v>72</v>
      </c>
      <c r="J64" s="9" t="s">
        <v>32</v>
      </c>
      <c r="K64" s="9"/>
      <c r="L64" s="9" t="s">
        <v>377</v>
      </c>
      <c r="M64" s="9"/>
      <c r="N64" s="9" t="s">
        <v>39</v>
      </c>
      <c r="O64" s="10"/>
      <c r="P64" s="10"/>
    </row>
    <row r="65" customFormat="false" ht="85.05" hidden="false" customHeight="false" outlineLevel="0" collapsed="false">
      <c r="A65" s="9" t="s">
        <v>410</v>
      </c>
      <c r="B65" s="9" t="s">
        <v>374</v>
      </c>
      <c r="C65" s="9" t="s">
        <v>58</v>
      </c>
      <c r="D65" s="9" t="s">
        <v>67</v>
      </c>
      <c r="E65" s="9" t="s">
        <v>411</v>
      </c>
      <c r="F65" s="9" t="s">
        <v>412</v>
      </c>
      <c r="G65" s="9"/>
      <c r="H65" s="9" t="s">
        <v>377</v>
      </c>
      <c r="I65" s="9" t="s">
        <v>72</v>
      </c>
      <c r="J65" s="9" t="s">
        <v>32</v>
      </c>
      <c r="K65" s="9"/>
      <c r="L65" s="9" t="s">
        <v>413</v>
      </c>
      <c r="M65" s="9"/>
      <c r="N65" s="9" t="s">
        <v>39</v>
      </c>
      <c r="O65" s="10"/>
      <c r="P65" s="10"/>
    </row>
    <row r="66" customFormat="false" ht="53.7" hidden="false" customHeight="false" outlineLevel="0" collapsed="false">
      <c r="A66" s="9" t="s">
        <v>414</v>
      </c>
      <c r="B66" s="9" t="s">
        <v>374</v>
      </c>
      <c r="C66" s="9" t="s">
        <v>58</v>
      </c>
      <c r="D66" s="9" t="s">
        <v>67</v>
      </c>
      <c r="E66" s="9" t="s">
        <v>415</v>
      </c>
      <c r="F66" s="9" t="s">
        <v>416</v>
      </c>
      <c r="G66" s="9"/>
      <c r="H66" s="9" t="s">
        <v>377</v>
      </c>
      <c r="I66" s="9" t="s">
        <v>72</v>
      </c>
      <c r="J66" s="9" t="s">
        <v>32</v>
      </c>
      <c r="K66" s="9" t="s">
        <v>417</v>
      </c>
      <c r="L66" s="9" t="s">
        <v>418</v>
      </c>
      <c r="M66" s="9"/>
      <c r="N66" s="9" t="s">
        <v>39</v>
      </c>
      <c r="O66" s="10"/>
      <c r="P66" s="10"/>
    </row>
    <row r="67" customFormat="false" ht="53.7" hidden="false" customHeight="false" outlineLevel="0" collapsed="false">
      <c r="A67" s="9" t="s">
        <v>419</v>
      </c>
      <c r="B67" s="9" t="s">
        <v>374</v>
      </c>
      <c r="C67" s="9" t="s">
        <v>58</v>
      </c>
      <c r="D67" s="9" t="s">
        <v>67</v>
      </c>
      <c r="E67" s="9" t="s">
        <v>420</v>
      </c>
      <c r="F67" s="9" t="s">
        <v>421</v>
      </c>
      <c r="G67" s="9"/>
      <c r="H67" s="9" t="s">
        <v>377</v>
      </c>
      <c r="I67" s="9" t="s">
        <v>72</v>
      </c>
      <c r="J67" s="9" t="s">
        <v>32</v>
      </c>
      <c r="K67" s="9"/>
      <c r="L67" s="9" t="s">
        <v>422</v>
      </c>
      <c r="M67" s="9"/>
      <c r="N67" s="9" t="s">
        <v>39</v>
      </c>
      <c r="O67" s="10"/>
      <c r="P67" s="10"/>
    </row>
    <row r="68" customFormat="false" ht="64.15" hidden="false" customHeight="false" outlineLevel="0" collapsed="false">
      <c r="A68" s="9" t="s">
        <v>423</v>
      </c>
      <c r="B68" s="9" t="s">
        <v>374</v>
      </c>
      <c r="C68" s="9" t="s">
        <v>58</v>
      </c>
      <c r="D68" s="9" t="s">
        <v>67</v>
      </c>
      <c r="E68" s="9" t="s">
        <v>424</v>
      </c>
      <c r="F68" s="9" t="s">
        <v>425</v>
      </c>
      <c r="G68" s="9"/>
      <c r="H68" s="9" t="s">
        <v>377</v>
      </c>
      <c r="I68" s="9" t="s">
        <v>72</v>
      </c>
      <c r="J68" s="9" t="s">
        <v>32</v>
      </c>
      <c r="K68" s="9"/>
      <c r="L68" s="9" t="s">
        <v>377</v>
      </c>
      <c r="M68" s="9"/>
      <c r="N68" s="9" t="s">
        <v>39</v>
      </c>
      <c r="O68" s="10"/>
      <c r="P68" s="10"/>
    </row>
    <row r="69" customFormat="false" ht="64.15" hidden="false" customHeight="false" outlineLevel="0" collapsed="false">
      <c r="A69" s="9" t="s">
        <v>426</v>
      </c>
      <c r="B69" s="9" t="s">
        <v>374</v>
      </c>
      <c r="C69" s="9" t="s">
        <v>58</v>
      </c>
      <c r="D69" s="9" t="s">
        <v>67</v>
      </c>
      <c r="E69" s="9" t="s">
        <v>427</v>
      </c>
      <c r="F69" s="9" t="s">
        <v>428</v>
      </c>
      <c r="G69" s="9"/>
      <c r="H69" s="9" t="s">
        <v>377</v>
      </c>
      <c r="I69" s="9" t="s">
        <v>72</v>
      </c>
      <c r="J69" s="9" t="s">
        <v>32</v>
      </c>
      <c r="K69" s="9"/>
      <c r="L69" s="9" t="s">
        <v>377</v>
      </c>
      <c r="M69" s="9"/>
      <c r="N69" s="9" t="s">
        <v>39</v>
      </c>
      <c r="O69" s="10"/>
      <c r="P69" s="10"/>
    </row>
    <row r="70" customFormat="false" ht="43.25" hidden="false" customHeight="false" outlineLevel="0" collapsed="false">
      <c r="A70" s="9" t="s">
        <v>429</v>
      </c>
      <c r="B70" s="9" t="s">
        <v>374</v>
      </c>
      <c r="C70" s="9" t="s">
        <v>58</v>
      </c>
      <c r="D70" s="9" t="s">
        <v>67</v>
      </c>
      <c r="E70" s="9" t="s">
        <v>430</v>
      </c>
      <c r="F70" s="9" t="s">
        <v>431</v>
      </c>
      <c r="G70" s="9"/>
      <c r="H70" s="9" t="s">
        <v>377</v>
      </c>
      <c r="I70" s="9" t="s">
        <v>72</v>
      </c>
      <c r="J70" s="9" t="s">
        <v>32</v>
      </c>
      <c r="K70" s="9"/>
      <c r="L70" s="9" t="s">
        <v>432</v>
      </c>
      <c r="M70" s="9"/>
      <c r="N70" s="9" t="s">
        <v>39</v>
      </c>
      <c r="O70" s="10"/>
      <c r="P70" s="10"/>
    </row>
    <row r="71" customFormat="false" ht="74.6" hidden="false" customHeight="false" outlineLevel="0" collapsed="false">
      <c r="A71" s="9" t="s">
        <v>433</v>
      </c>
      <c r="B71" s="9" t="s">
        <v>374</v>
      </c>
      <c r="C71" s="9" t="s">
        <v>58</v>
      </c>
      <c r="D71" s="9" t="s">
        <v>67</v>
      </c>
      <c r="E71" s="9" t="s">
        <v>434</v>
      </c>
      <c r="F71" s="9" t="s">
        <v>435</v>
      </c>
      <c r="G71" s="9"/>
      <c r="H71" s="9" t="s">
        <v>436</v>
      </c>
      <c r="I71" s="9" t="s">
        <v>72</v>
      </c>
      <c r="J71" s="9" t="s">
        <v>32</v>
      </c>
      <c r="K71" s="9"/>
      <c r="L71" s="9" t="s">
        <v>437</v>
      </c>
      <c r="M71" s="9"/>
      <c r="N71" s="9" t="s">
        <v>39</v>
      </c>
      <c r="O71" s="10"/>
      <c r="P71" s="10"/>
    </row>
    <row r="72" customFormat="false" ht="74.6" hidden="false" customHeight="false" outlineLevel="0" collapsed="false">
      <c r="A72" s="9" t="s">
        <v>438</v>
      </c>
      <c r="B72" s="9" t="s">
        <v>374</v>
      </c>
      <c r="C72" s="9" t="s">
        <v>58</v>
      </c>
      <c r="D72" s="9" t="s">
        <v>67</v>
      </c>
      <c r="E72" s="9" t="s">
        <v>439</v>
      </c>
      <c r="F72" s="9" t="s">
        <v>440</v>
      </c>
      <c r="G72" s="9" t="s">
        <v>441</v>
      </c>
      <c r="H72" s="9" t="s">
        <v>442</v>
      </c>
      <c r="I72" s="9" t="s">
        <v>72</v>
      </c>
      <c r="J72" s="9" t="s">
        <v>33</v>
      </c>
      <c r="K72" s="9" t="s">
        <v>443</v>
      </c>
      <c r="L72" s="9" t="s">
        <v>444</v>
      </c>
      <c r="M72" s="9" t="s">
        <v>445</v>
      </c>
      <c r="N72" s="9" t="s">
        <v>39</v>
      </c>
      <c r="O72" s="10"/>
      <c r="P72" s="10"/>
    </row>
    <row r="73" customFormat="false" ht="116.4" hidden="false" customHeight="false" outlineLevel="0" collapsed="false">
      <c r="A73" s="9" t="s">
        <v>446</v>
      </c>
      <c r="B73" s="9" t="s">
        <v>298</v>
      </c>
      <c r="C73" s="9" t="s">
        <v>58</v>
      </c>
      <c r="D73" s="9" t="s">
        <v>67</v>
      </c>
      <c r="E73" s="9" t="s">
        <v>447</v>
      </c>
      <c r="F73" s="9" t="s">
        <v>448</v>
      </c>
      <c r="G73" s="9"/>
      <c r="H73" s="9" t="s">
        <v>449</v>
      </c>
      <c r="I73" s="9" t="s">
        <v>72</v>
      </c>
      <c r="J73" s="9" t="s">
        <v>32</v>
      </c>
      <c r="K73" s="9"/>
      <c r="L73" s="9" t="s">
        <v>450</v>
      </c>
      <c r="M73" s="9"/>
      <c r="N73" s="9" t="s">
        <v>39</v>
      </c>
      <c r="O73" s="10"/>
      <c r="P73" s="10"/>
    </row>
    <row r="74" customFormat="false" ht="116.4" hidden="false" customHeight="false" outlineLevel="0" collapsed="false">
      <c r="A74" s="9" t="s">
        <v>451</v>
      </c>
      <c r="B74" s="9" t="s">
        <v>57</v>
      </c>
      <c r="C74" s="9" t="s">
        <v>58</v>
      </c>
      <c r="D74" s="9" t="s">
        <v>67</v>
      </c>
      <c r="E74" s="9" t="s">
        <v>452</v>
      </c>
      <c r="F74" s="9" t="s">
        <v>453</v>
      </c>
      <c r="G74" s="9" t="s">
        <v>454</v>
      </c>
      <c r="H74" s="9" t="s">
        <v>455</v>
      </c>
      <c r="I74" s="9" t="s">
        <v>72</v>
      </c>
      <c r="J74" s="9" t="s">
        <v>33</v>
      </c>
      <c r="K74" s="9" t="s">
        <v>456</v>
      </c>
      <c r="L74" s="9" t="s">
        <v>455</v>
      </c>
      <c r="M74" s="9" t="s">
        <v>457</v>
      </c>
      <c r="N74" s="9" t="s">
        <v>39</v>
      </c>
      <c r="O74" s="10"/>
      <c r="P74" s="10"/>
    </row>
    <row r="75" customFormat="false" ht="53.7" hidden="false" customHeight="false" outlineLevel="0" collapsed="false">
      <c r="A75" s="9" t="s">
        <v>458</v>
      </c>
      <c r="B75" s="9" t="s">
        <v>459</v>
      </c>
      <c r="C75" s="9" t="s">
        <v>58</v>
      </c>
      <c r="D75" s="9" t="s">
        <v>67</v>
      </c>
      <c r="E75" s="9" t="s">
        <v>460</v>
      </c>
      <c r="F75" s="9" t="s">
        <v>461</v>
      </c>
      <c r="G75" s="9"/>
      <c r="H75" s="9" t="s">
        <v>462</v>
      </c>
      <c r="I75" s="9" t="s">
        <v>463</v>
      </c>
      <c r="J75" s="9" t="s">
        <v>32</v>
      </c>
      <c r="K75" s="9" t="s">
        <v>464</v>
      </c>
      <c r="L75" s="9" t="s">
        <v>465</v>
      </c>
      <c r="M75" s="9"/>
      <c r="N75" s="9" t="s">
        <v>39</v>
      </c>
      <c r="O75" s="10"/>
      <c r="P75" s="10"/>
    </row>
    <row r="76" customFormat="false" ht="74.6" hidden="false" customHeight="false" outlineLevel="0" collapsed="false">
      <c r="A76" s="9" t="s">
        <v>466</v>
      </c>
      <c r="B76" s="9" t="s">
        <v>459</v>
      </c>
      <c r="C76" s="9" t="s">
        <v>58</v>
      </c>
      <c r="D76" s="9" t="s">
        <v>67</v>
      </c>
      <c r="E76" s="9" t="s">
        <v>467</v>
      </c>
      <c r="F76" s="9" t="s">
        <v>468</v>
      </c>
      <c r="G76" s="9"/>
      <c r="H76" s="9" t="s">
        <v>469</v>
      </c>
      <c r="I76" s="9" t="s">
        <v>470</v>
      </c>
      <c r="J76" s="9" t="s">
        <v>32</v>
      </c>
      <c r="K76" s="9"/>
      <c r="L76" s="9" t="s">
        <v>471</v>
      </c>
      <c r="M76" s="9"/>
      <c r="N76" s="9" t="s">
        <v>39</v>
      </c>
      <c r="O76" s="10"/>
      <c r="P76" s="10"/>
    </row>
    <row r="77" customFormat="false" ht="53.7" hidden="false" customHeight="false" outlineLevel="0" collapsed="false">
      <c r="A77" s="9" t="s">
        <v>472</v>
      </c>
      <c r="B77" s="9" t="s">
        <v>459</v>
      </c>
      <c r="C77" s="9" t="s">
        <v>58</v>
      </c>
      <c r="D77" s="9" t="s">
        <v>67</v>
      </c>
      <c r="E77" s="9" t="s">
        <v>473</v>
      </c>
      <c r="F77" s="9" t="s">
        <v>474</v>
      </c>
      <c r="G77" s="9"/>
      <c r="H77" s="9" t="s">
        <v>462</v>
      </c>
      <c r="I77" s="9" t="s">
        <v>463</v>
      </c>
      <c r="J77" s="9" t="s">
        <v>32</v>
      </c>
      <c r="K77" s="9" t="s">
        <v>464</v>
      </c>
      <c r="L77" s="9" t="s">
        <v>475</v>
      </c>
      <c r="M77" s="9"/>
      <c r="N77" s="9" t="s">
        <v>39</v>
      </c>
      <c r="O77" s="10"/>
      <c r="P77" s="10"/>
    </row>
    <row r="78" customFormat="false" ht="64.15" hidden="false" customHeight="false" outlineLevel="0" collapsed="false">
      <c r="A78" s="9" t="s">
        <v>476</v>
      </c>
      <c r="B78" s="9" t="s">
        <v>459</v>
      </c>
      <c r="C78" s="9" t="s">
        <v>58</v>
      </c>
      <c r="D78" s="9" t="s">
        <v>67</v>
      </c>
      <c r="E78" s="9" t="s">
        <v>477</v>
      </c>
      <c r="F78" s="9" t="s">
        <v>478</v>
      </c>
      <c r="G78" s="9"/>
      <c r="H78" s="9" t="s">
        <v>462</v>
      </c>
      <c r="I78" s="9" t="s">
        <v>463</v>
      </c>
      <c r="J78" s="9" t="s">
        <v>32</v>
      </c>
      <c r="K78" s="9"/>
      <c r="L78" s="9" t="s">
        <v>479</v>
      </c>
      <c r="M78" s="9"/>
      <c r="N78" s="9" t="s">
        <v>39</v>
      </c>
      <c r="O78" s="10"/>
      <c r="P78" s="10"/>
    </row>
    <row r="79" customFormat="false" ht="64.15" hidden="false" customHeight="false" outlineLevel="0" collapsed="false">
      <c r="A79" s="9" t="s">
        <v>480</v>
      </c>
      <c r="B79" s="9" t="s">
        <v>459</v>
      </c>
      <c r="C79" s="9" t="s">
        <v>58</v>
      </c>
      <c r="D79" s="9" t="s">
        <v>67</v>
      </c>
      <c r="E79" s="9" t="s">
        <v>481</v>
      </c>
      <c r="F79" s="9" t="s">
        <v>482</v>
      </c>
      <c r="G79" s="9"/>
      <c r="H79" s="9" t="s">
        <v>462</v>
      </c>
      <c r="I79" s="9" t="s">
        <v>463</v>
      </c>
      <c r="J79" s="9" t="s">
        <v>32</v>
      </c>
      <c r="K79" s="9"/>
      <c r="L79" s="9" t="s">
        <v>483</v>
      </c>
      <c r="M79" s="9"/>
      <c r="N79" s="9" t="s">
        <v>39</v>
      </c>
      <c r="O79" s="10"/>
      <c r="P79" s="10"/>
    </row>
    <row r="80" customFormat="false" ht="64.15" hidden="false" customHeight="false" outlineLevel="0" collapsed="false">
      <c r="A80" s="9" t="s">
        <v>484</v>
      </c>
      <c r="B80" s="9" t="s">
        <v>298</v>
      </c>
      <c r="C80" s="9" t="s">
        <v>58</v>
      </c>
      <c r="D80" s="9" t="s">
        <v>67</v>
      </c>
      <c r="E80" s="9" t="s">
        <v>485</v>
      </c>
      <c r="F80" s="9" t="s">
        <v>486</v>
      </c>
      <c r="G80" s="9"/>
      <c r="H80" s="9" t="s">
        <v>487</v>
      </c>
      <c r="I80" s="9" t="s">
        <v>470</v>
      </c>
      <c r="J80" s="9" t="s">
        <v>33</v>
      </c>
      <c r="K80" s="9" t="s">
        <v>488</v>
      </c>
      <c r="L80" s="9" t="s">
        <v>489</v>
      </c>
      <c r="M80" s="9" t="s">
        <v>490</v>
      </c>
      <c r="N80" s="9" t="s">
        <v>38</v>
      </c>
      <c r="O80" s="10"/>
      <c r="P80" s="10"/>
    </row>
    <row r="81" customFormat="false" ht="64.15" hidden="false" customHeight="false" outlineLevel="0" collapsed="false">
      <c r="A81" s="9" t="s">
        <v>491</v>
      </c>
      <c r="B81" s="9" t="s">
        <v>298</v>
      </c>
      <c r="C81" s="9" t="s">
        <v>58</v>
      </c>
      <c r="D81" s="9" t="s">
        <v>67</v>
      </c>
      <c r="E81" s="9" t="s">
        <v>492</v>
      </c>
      <c r="F81" s="9" t="s">
        <v>493</v>
      </c>
      <c r="G81" s="9"/>
      <c r="H81" s="9" t="s">
        <v>494</v>
      </c>
      <c r="I81" s="9" t="s">
        <v>463</v>
      </c>
      <c r="J81" s="9" t="s">
        <v>33</v>
      </c>
      <c r="K81" s="9" t="s">
        <v>495</v>
      </c>
      <c r="L81" s="9" t="s">
        <v>496</v>
      </c>
      <c r="M81" s="9" t="s">
        <v>497</v>
      </c>
      <c r="N81" s="9" t="s">
        <v>39</v>
      </c>
      <c r="O81" s="10"/>
      <c r="P81" s="10"/>
    </row>
    <row r="82" customFormat="false" ht="95.5" hidden="false" customHeight="false" outlineLevel="0" collapsed="false">
      <c r="A82" s="9" t="s">
        <v>498</v>
      </c>
      <c r="B82" s="9" t="s">
        <v>298</v>
      </c>
      <c r="C82" s="9" t="s">
        <v>58</v>
      </c>
      <c r="D82" s="9" t="s">
        <v>67</v>
      </c>
      <c r="E82" s="9" t="s">
        <v>499</v>
      </c>
      <c r="F82" s="9" t="s">
        <v>500</v>
      </c>
      <c r="G82" s="9"/>
      <c r="H82" s="9" t="s">
        <v>501</v>
      </c>
      <c r="I82" s="9" t="s">
        <v>470</v>
      </c>
      <c r="J82" s="9" t="s">
        <v>32</v>
      </c>
      <c r="K82" s="9"/>
      <c r="L82" s="9" t="s">
        <v>502</v>
      </c>
      <c r="M82" s="9"/>
      <c r="N82" s="9" t="s">
        <v>39</v>
      </c>
      <c r="O82" s="10"/>
      <c r="P82" s="10"/>
    </row>
    <row r="83" customFormat="false" ht="53.7" hidden="false" customHeight="false" outlineLevel="0" collapsed="false">
      <c r="A83" s="9" t="s">
        <v>503</v>
      </c>
      <c r="B83" s="9" t="s">
        <v>298</v>
      </c>
      <c r="C83" s="9" t="s">
        <v>58</v>
      </c>
      <c r="D83" s="9" t="s">
        <v>67</v>
      </c>
      <c r="E83" s="9" t="s">
        <v>504</v>
      </c>
      <c r="F83" s="9" t="s">
        <v>505</v>
      </c>
      <c r="G83" s="9"/>
      <c r="H83" s="9" t="s">
        <v>494</v>
      </c>
      <c r="I83" s="9" t="s">
        <v>463</v>
      </c>
      <c r="J83" s="9" t="s">
        <v>32</v>
      </c>
      <c r="K83" s="9" t="s">
        <v>506</v>
      </c>
      <c r="L83" s="9" t="s">
        <v>507</v>
      </c>
      <c r="M83" s="9"/>
      <c r="N83" s="9" t="s">
        <v>40</v>
      </c>
      <c r="O83" s="10"/>
      <c r="P83" s="10"/>
    </row>
    <row r="84" customFormat="false" ht="64.15" hidden="false" customHeight="false" outlineLevel="0" collapsed="false">
      <c r="A84" s="9" t="s">
        <v>508</v>
      </c>
      <c r="B84" s="9" t="s">
        <v>298</v>
      </c>
      <c r="C84" s="9" t="s">
        <v>58</v>
      </c>
      <c r="D84" s="9" t="s">
        <v>67</v>
      </c>
      <c r="E84" s="9" t="s">
        <v>509</v>
      </c>
      <c r="F84" s="9" t="s">
        <v>510</v>
      </c>
      <c r="G84" s="9" t="s">
        <v>511</v>
      </c>
      <c r="H84" s="9" t="s">
        <v>512</v>
      </c>
      <c r="I84" s="9" t="s">
        <v>470</v>
      </c>
      <c r="J84" s="9" t="s">
        <v>32</v>
      </c>
      <c r="K84" s="9"/>
      <c r="L84" s="9" t="s">
        <v>513</v>
      </c>
      <c r="M84" s="9" t="s">
        <v>319</v>
      </c>
      <c r="N84" s="9" t="s">
        <v>38</v>
      </c>
      <c r="O84" s="10"/>
      <c r="P84" s="10"/>
    </row>
    <row r="85" customFormat="false" ht="95.5" hidden="false" customHeight="false" outlineLevel="0" collapsed="false">
      <c r="A85" s="9" t="s">
        <v>514</v>
      </c>
      <c r="B85" s="9" t="s">
        <v>515</v>
      </c>
      <c r="C85" s="9" t="s">
        <v>58</v>
      </c>
      <c r="D85" s="9" t="s">
        <v>67</v>
      </c>
      <c r="E85" s="9" t="s">
        <v>516</v>
      </c>
      <c r="F85" s="9" t="s">
        <v>517</v>
      </c>
      <c r="G85" s="9"/>
      <c r="H85" s="9" t="s">
        <v>518</v>
      </c>
      <c r="I85" s="9" t="s">
        <v>470</v>
      </c>
      <c r="J85" s="9" t="s">
        <v>32</v>
      </c>
      <c r="K85" s="9" t="s">
        <v>98</v>
      </c>
      <c r="L85" s="9" t="s">
        <v>519</v>
      </c>
      <c r="M85" s="9" t="s">
        <v>520</v>
      </c>
      <c r="N85" s="9" t="s">
        <v>39</v>
      </c>
      <c r="O85" s="10"/>
      <c r="P85" s="10"/>
    </row>
    <row r="86" customFormat="false" ht="43.25" hidden="false" customHeight="false" outlineLevel="0" collapsed="false">
      <c r="A86" s="9" t="s">
        <v>521</v>
      </c>
      <c r="B86" s="9" t="s">
        <v>515</v>
      </c>
      <c r="C86" s="9" t="s">
        <v>58</v>
      </c>
      <c r="D86" s="9" t="s">
        <v>67</v>
      </c>
      <c r="E86" s="9" t="s">
        <v>522</v>
      </c>
      <c r="F86" s="9" t="s">
        <v>523</v>
      </c>
      <c r="G86" s="9"/>
      <c r="H86" s="9" t="s">
        <v>524</v>
      </c>
      <c r="I86" s="9" t="s">
        <v>72</v>
      </c>
      <c r="J86" s="9" t="s">
        <v>33</v>
      </c>
      <c r="K86" s="9" t="s">
        <v>525</v>
      </c>
      <c r="L86" s="9" t="s">
        <v>526</v>
      </c>
      <c r="M86" s="9"/>
      <c r="N86" s="9" t="s">
        <v>39</v>
      </c>
      <c r="O86" s="10"/>
      <c r="P86" s="10"/>
    </row>
    <row r="87" customFormat="false" ht="95.5" hidden="false" customHeight="false" outlineLevel="0" collapsed="false">
      <c r="A87" s="9" t="s">
        <v>527</v>
      </c>
      <c r="B87" s="9" t="s">
        <v>515</v>
      </c>
      <c r="C87" s="9" t="s">
        <v>58</v>
      </c>
      <c r="D87" s="9" t="s">
        <v>67</v>
      </c>
      <c r="E87" s="9" t="s">
        <v>528</v>
      </c>
      <c r="F87" s="9" t="s">
        <v>529</v>
      </c>
      <c r="G87" s="9"/>
      <c r="H87" s="9" t="s">
        <v>530</v>
      </c>
      <c r="I87" s="9" t="s">
        <v>72</v>
      </c>
      <c r="J87" s="9" t="s">
        <v>32</v>
      </c>
      <c r="K87" s="9"/>
      <c r="L87" s="9" t="s">
        <v>530</v>
      </c>
      <c r="M87" s="9"/>
      <c r="N87" s="9" t="s">
        <v>39</v>
      </c>
      <c r="O87" s="10"/>
      <c r="P87" s="10"/>
    </row>
    <row r="88" customFormat="false" ht="74.6" hidden="false" customHeight="false" outlineLevel="0" collapsed="false">
      <c r="A88" s="9" t="s">
        <v>531</v>
      </c>
      <c r="B88" s="9" t="s">
        <v>515</v>
      </c>
      <c r="C88" s="9" t="s">
        <v>58</v>
      </c>
      <c r="D88" s="9" t="s">
        <v>67</v>
      </c>
      <c r="E88" s="9" t="s">
        <v>532</v>
      </c>
      <c r="F88" s="9" t="s">
        <v>533</v>
      </c>
      <c r="G88" s="9"/>
      <c r="H88" s="9" t="s">
        <v>534</v>
      </c>
      <c r="I88" s="9" t="s">
        <v>463</v>
      </c>
      <c r="J88" s="9" t="s">
        <v>32</v>
      </c>
      <c r="K88" s="9" t="s">
        <v>506</v>
      </c>
      <c r="L88" s="9" t="s">
        <v>535</v>
      </c>
      <c r="M88" s="9"/>
      <c r="N88" s="9" t="s">
        <v>40</v>
      </c>
      <c r="O88" s="10"/>
      <c r="P88" s="10"/>
    </row>
    <row r="89" customFormat="false" ht="64.15" hidden="false" customHeight="false" outlineLevel="0" collapsed="false">
      <c r="A89" s="9" t="s">
        <v>536</v>
      </c>
      <c r="B89" s="9" t="s">
        <v>515</v>
      </c>
      <c r="C89" s="9" t="s">
        <v>58</v>
      </c>
      <c r="D89" s="9" t="s">
        <v>67</v>
      </c>
      <c r="E89" s="9" t="s">
        <v>537</v>
      </c>
      <c r="F89" s="9" t="s">
        <v>538</v>
      </c>
      <c r="G89" s="9"/>
      <c r="H89" s="9" t="s">
        <v>539</v>
      </c>
      <c r="I89" s="9" t="s">
        <v>470</v>
      </c>
      <c r="J89" s="9" t="s">
        <v>32</v>
      </c>
      <c r="K89" s="9"/>
      <c r="L89" s="9" t="s">
        <v>540</v>
      </c>
      <c r="M89" s="9"/>
      <c r="N89" s="9" t="s">
        <v>39</v>
      </c>
      <c r="O89" s="10"/>
      <c r="P89" s="10"/>
    </row>
    <row r="90" customFormat="false" ht="64.15" hidden="false" customHeight="false" outlineLevel="0" collapsed="false">
      <c r="A90" s="9" t="s">
        <v>541</v>
      </c>
      <c r="B90" s="9" t="s">
        <v>515</v>
      </c>
      <c r="C90" s="9" t="s">
        <v>58</v>
      </c>
      <c r="D90" s="9" t="s">
        <v>67</v>
      </c>
      <c r="E90" s="9" t="s">
        <v>542</v>
      </c>
      <c r="F90" s="9" t="s">
        <v>543</v>
      </c>
      <c r="G90" s="9"/>
      <c r="H90" s="9" t="s">
        <v>534</v>
      </c>
      <c r="I90" s="9" t="s">
        <v>463</v>
      </c>
      <c r="J90" s="9" t="s">
        <v>33</v>
      </c>
      <c r="K90" s="9" t="s">
        <v>544</v>
      </c>
      <c r="L90" s="9" t="s">
        <v>545</v>
      </c>
      <c r="M90" s="9" t="s">
        <v>546</v>
      </c>
      <c r="N90" s="9" t="s">
        <v>40</v>
      </c>
      <c r="O90" s="10"/>
      <c r="P90" s="10"/>
    </row>
    <row r="91" customFormat="false" ht="43.25" hidden="false" customHeight="false" outlineLevel="0" collapsed="false">
      <c r="A91" s="9" t="s">
        <v>547</v>
      </c>
      <c r="B91" s="9" t="s">
        <v>515</v>
      </c>
      <c r="C91" s="9" t="s">
        <v>58</v>
      </c>
      <c r="D91" s="9" t="s">
        <v>67</v>
      </c>
      <c r="E91" s="9" t="s">
        <v>548</v>
      </c>
      <c r="F91" s="9" t="s">
        <v>549</v>
      </c>
      <c r="G91" s="9"/>
      <c r="H91" s="9" t="s">
        <v>534</v>
      </c>
      <c r="I91" s="9" t="s">
        <v>463</v>
      </c>
      <c r="J91" s="9" t="s">
        <v>32</v>
      </c>
      <c r="K91" s="9"/>
      <c r="L91" s="9" t="s">
        <v>535</v>
      </c>
      <c r="M91" s="9"/>
      <c r="N91" s="9" t="s">
        <v>40</v>
      </c>
      <c r="O91" s="10"/>
      <c r="P91" s="10"/>
    </row>
    <row r="92" customFormat="false" ht="64.15" hidden="false" customHeight="false" outlineLevel="0" collapsed="false">
      <c r="A92" s="9" t="s">
        <v>550</v>
      </c>
      <c r="B92" s="9" t="s">
        <v>515</v>
      </c>
      <c r="C92" s="9" t="s">
        <v>58</v>
      </c>
      <c r="D92" s="9" t="s">
        <v>67</v>
      </c>
      <c r="E92" s="9" t="s">
        <v>551</v>
      </c>
      <c r="F92" s="9" t="s">
        <v>552</v>
      </c>
      <c r="G92" s="9"/>
      <c r="H92" s="9" t="s">
        <v>553</v>
      </c>
      <c r="I92" s="9" t="s">
        <v>470</v>
      </c>
      <c r="J92" s="9" t="s">
        <v>32</v>
      </c>
      <c r="K92" s="9"/>
      <c r="L92" s="9" t="s">
        <v>554</v>
      </c>
      <c r="M92" s="9"/>
      <c r="N92" s="9" t="s">
        <v>39</v>
      </c>
      <c r="O92" s="10"/>
      <c r="P92" s="10"/>
    </row>
    <row r="93" customFormat="false" ht="74.6" hidden="false" customHeight="false" outlineLevel="0" collapsed="false">
      <c r="A93" s="9" t="s">
        <v>555</v>
      </c>
      <c r="B93" s="9" t="s">
        <v>556</v>
      </c>
      <c r="C93" s="9" t="s">
        <v>58</v>
      </c>
      <c r="D93" s="9" t="s">
        <v>67</v>
      </c>
      <c r="E93" s="9" t="s">
        <v>557</v>
      </c>
      <c r="F93" s="9" t="s">
        <v>558</v>
      </c>
      <c r="G93" s="9"/>
      <c r="H93" s="9" t="s">
        <v>559</v>
      </c>
      <c r="I93" s="9" t="s">
        <v>470</v>
      </c>
      <c r="J93" s="9" t="s">
        <v>33</v>
      </c>
      <c r="K93" s="9" t="s">
        <v>560</v>
      </c>
      <c r="L93" s="9" t="s">
        <v>561</v>
      </c>
      <c r="M93" s="9" t="s">
        <v>562</v>
      </c>
      <c r="N93" s="9" t="s">
        <v>38</v>
      </c>
      <c r="O93" s="10"/>
      <c r="P93" s="10"/>
    </row>
    <row r="94" customFormat="false" ht="74.6" hidden="false" customHeight="false" outlineLevel="0" collapsed="false">
      <c r="A94" s="9" t="s">
        <v>563</v>
      </c>
      <c r="B94" s="9" t="s">
        <v>556</v>
      </c>
      <c r="C94" s="9" t="s">
        <v>58</v>
      </c>
      <c r="D94" s="9" t="s">
        <v>67</v>
      </c>
      <c r="E94" s="9" t="s">
        <v>564</v>
      </c>
      <c r="F94" s="9" t="s">
        <v>565</v>
      </c>
      <c r="G94" s="9"/>
      <c r="H94" s="9" t="s">
        <v>501</v>
      </c>
      <c r="I94" s="9" t="s">
        <v>470</v>
      </c>
      <c r="J94" s="9" t="s">
        <v>32</v>
      </c>
      <c r="K94" s="9" t="s">
        <v>566</v>
      </c>
      <c r="L94" s="9" t="s">
        <v>567</v>
      </c>
      <c r="M94" s="9"/>
      <c r="N94" s="9" t="s">
        <v>39</v>
      </c>
      <c r="O94" s="10"/>
      <c r="P94" s="10"/>
    </row>
    <row r="95" customFormat="false" ht="64.15" hidden="false" customHeight="false" outlineLevel="0" collapsed="false">
      <c r="A95" s="9" t="s">
        <v>568</v>
      </c>
      <c r="B95" s="9" t="s">
        <v>556</v>
      </c>
      <c r="C95" s="9" t="s">
        <v>58</v>
      </c>
      <c r="D95" s="9" t="s">
        <v>67</v>
      </c>
      <c r="E95" s="9" t="s">
        <v>569</v>
      </c>
      <c r="F95" s="9" t="s">
        <v>570</v>
      </c>
      <c r="G95" s="9"/>
      <c r="H95" s="9" t="s">
        <v>571</v>
      </c>
      <c r="I95" s="9" t="s">
        <v>463</v>
      </c>
      <c r="J95" s="9" t="s">
        <v>32</v>
      </c>
      <c r="K95" s="9" t="s">
        <v>572</v>
      </c>
      <c r="L95" s="9" t="s">
        <v>573</v>
      </c>
      <c r="M95" s="9" t="s">
        <v>574</v>
      </c>
      <c r="N95" s="9" t="s">
        <v>40</v>
      </c>
      <c r="O95" s="10"/>
      <c r="P95" s="10"/>
    </row>
    <row r="96" customFormat="false" ht="95.5" hidden="false" customHeight="false" outlineLevel="0" collapsed="false">
      <c r="A96" s="9" t="s">
        <v>575</v>
      </c>
      <c r="B96" s="9" t="s">
        <v>556</v>
      </c>
      <c r="C96" s="9" t="s">
        <v>58</v>
      </c>
      <c r="D96" s="9" t="s">
        <v>67</v>
      </c>
      <c r="E96" s="9" t="s">
        <v>576</v>
      </c>
      <c r="F96" s="9" t="s">
        <v>577</v>
      </c>
      <c r="G96" s="9" t="s">
        <v>578</v>
      </c>
      <c r="H96" s="9" t="s">
        <v>579</v>
      </c>
      <c r="I96" s="9" t="s">
        <v>470</v>
      </c>
      <c r="J96" s="9" t="s">
        <v>33</v>
      </c>
      <c r="K96" s="9" t="s">
        <v>580</v>
      </c>
      <c r="L96" s="9" t="s">
        <v>581</v>
      </c>
      <c r="M96" s="9" t="s">
        <v>582</v>
      </c>
      <c r="N96" s="9" t="s">
        <v>39</v>
      </c>
      <c r="O96" s="10"/>
      <c r="P96" s="10"/>
    </row>
    <row r="97" customFormat="false" ht="85.05" hidden="false" customHeight="false" outlineLevel="0" collapsed="false">
      <c r="A97" s="9" t="s">
        <v>583</v>
      </c>
      <c r="B97" s="9" t="s">
        <v>584</v>
      </c>
      <c r="C97" s="9" t="s">
        <v>58</v>
      </c>
      <c r="D97" s="9" t="s">
        <v>67</v>
      </c>
      <c r="E97" s="9" t="s">
        <v>585</v>
      </c>
      <c r="F97" s="9" t="s">
        <v>586</v>
      </c>
      <c r="G97" s="9"/>
      <c r="H97" s="9" t="s">
        <v>587</v>
      </c>
      <c r="I97" s="9" t="s">
        <v>72</v>
      </c>
      <c r="J97" s="9" t="s">
        <v>32</v>
      </c>
      <c r="K97" s="9"/>
      <c r="L97" s="9" t="s">
        <v>588</v>
      </c>
      <c r="M97" s="9"/>
      <c r="N97" s="9" t="s">
        <v>39</v>
      </c>
      <c r="O97" s="10"/>
      <c r="P97" s="10"/>
    </row>
    <row r="98" customFormat="false" ht="43.25" hidden="false" customHeight="false" outlineLevel="0" collapsed="false">
      <c r="A98" s="9" t="s">
        <v>589</v>
      </c>
      <c r="B98" s="9" t="s">
        <v>584</v>
      </c>
      <c r="C98" s="9" t="s">
        <v>58</v>
      </c>
      <c r="D98" s="9" t="s">
        <v>67</v>
      </c>
      <c r="E98" s="9" t="s">
        <v>590</v>
      </c>
      <c r="F98" s="9" t="s">
        <v>591</v>
      </c>
      <c r="G98" s="9"/>
      <c r="H98" s="9" t="s">
        <v>592</v>
      </c>
      <c r="I98" s="9" t="s">
        <v>463</v>
      </c>
      <c r="J98" s="9" t="s">
        <v>32</v>
      </c>
      <c r="K98" s="9" t="s">
        <v>98</v>
      </c>
      <c r="L98" s="9" t="s">
        <v>593</v>
      </c>
      <c r="M98" s="9"/>
      <c r="N98" s="9" t="s">
        <v>39</v>
      </c>
      <c r="O98" s="10"/>
      <c r="P98" s="10"/>
    </row>
    <row r="99" customFormat="false" ht="64.15" hidden="false" customHeight="false" outlineLevel="0" collapsed="false">
      <c r="A99" s="9" t="s">
        <v>594</v>
      </c>
      <c r="B99" s="9" t="s">
        <v>584</v>
      </c>
      <c r="C99" s="9" t="s">
        <v>58</v>
      </c>
      <c r="D99" s="9" t="s">
        <v>67</v>
      </c>
      <c r="E99" s="9" t="s">
        <v>595</v>
      </c>
      <c r="F99" s="9" t="s">
        <v>596</v>
      </c>
      <c r="G99" s="9"/>
      <c r="H99" s="9" t="s">
        <v>597</v>
      </c>
      <c r="I99" s="9" t="s">
        <v>470</v>
      </c>
      <c r="J99" s="9" t="s">
        <v>32</v>
      </c>
      <c r="K99" s="9"/>
      <c r="L99" s="9" t="s">
        <v>598</v>
      </c>
      <c r="M99" s="9"/>
      <c r="N99" s="9" t="s">
        <v>39</v>
      </c>
      <c r="O99" s="10"/>
      <c r="P99" s="10"/>
    </row>
    <row r="100" customFormat="false" ht="64.15" hidden="false" customHeight="false" outlineLevel="0" collapsed="false">
      <c r="A100" s="9" t="s">
        <v>599</v>
      </c>
      <c r="B100" s="9" t="s">
        <v>584</v>
      </c>
      <c r="C100" s="9" t="s">
        <v>58</v>
      </c>
      <c r="D100" s="9" t="s">
        <v>67</v>
      </c>
      <c r="E100" s="9" t="s">
        <v>600</v>
      </c>
      <c r="F100" s="9" t="s">
        <v>601</v>
      </c>
      <c r="G100" s="9"/>
      <c r="H100" s="9" t="s">
        <v>602</v>
      </c>
      <c r="I100" s="9" t="s">
        <v>470</v>
      </c>
      <c r="J100" s="9" t="s">
        <v>33</v>
      </c>
      <c r="K100" s="9" t="s">
        <v>603</v>
      </c>
      <c r="L100" s="9" t="s">
        <v>604</v>
      </c>
      <c r="M100" s="9"/>
      <c r="N100" s="9" t="s">
        <v>39</v>
      </c>
      <c r="O100" s="10"/>
      <c r="P100" s="10"/>
    </row>
    <row r="101" customFormat="false" ht="53.7" hidden="false" customHeight="false" outlineLevel="0" collapsed="false">
      <c r="A101" s="9" t="s">
        <v>605</v>
      </c>
      <c r="B101" s="9" t="s">
        <v>584</v>
      </c>
      <c r="C101" s="9" t="s">
        <v>58</v>
      </c>
      <c r="D101" s="9" t="s">
        <v>67</v>
      </c>
      <c r="E101" s="9" t="s">
        <v>606</v>
      </c>
      <c r="F101" s="9" t="s">
        <v>607</v>
      </c>
      <c r="G101" s="9"/>
      <c r="H101" s="9" t="s">
        <v>592</v>
      </c>
      <c r="I101" s="9" t="s">
        <v>463</v>
      </c>
      <c r="J101" s="9" t="s">
        <v>32</v>
      </c>
      <c r="K101" s="9" t="s">
        <v>506</v>
      </c>
      <c r="L101" s="9" t="s">
        <v>608</v>
      </c>
      <c r="M101" s="9"/>
      <c r="N101" s="9" t="s">
        <v>40</v>
      </c>
      <c r="O101" s="10"/>
      <c r="P101" s="10"/>
    </row>
    <row r="102" customFormat="false" ht="43.25" hidden="false" customHeight="false" outlineLevel="0" collapsed="false">
      <c r="A102" s="9" t="s">
        <v>609</v>
      </c>
      <c r="B102" s="9" t="s">
        <v>584</v>
      </c>
      <c r="C102" s="9" t="s">
        <v>58</v>
      </c>
      <c r="D102" s="9" t="s">
        <v>67</v>
      </c>
      <c r="E102" s="9" t="s">
        <v>610</v>
      </c>
      <c r="F102" s="9" t="s">
        <v>611</v>
      </c>
      <c r="G102" s="9"/>
      <c r="H102" s="9" t="s">
        <v>592</v>
      </c>
      <c r="I102" s="9" t="s">
        <v>463</v>
      </c>
      <c r="J102" s="9" t="s">
        <v>32</v>
      </c>
      <c r="K102" s="9" t="s">
        <v>612</v>
      </c>
      <c r="L102" s="9" t="s">
        <v>613</v>
      </c>
      <c r="M102" s="9"/>
      <c r="N102" s="9" t="s">
        <v>40</v>
      </c>
      <c r="O102" s="10"/>
      <c r="P102" s="10"/>
    </row>
    <row r="103" customFormat="false" ht="32.8" hidden="false" customHeight="false" outlineLevel="0" collapsed="false">
      <c r="A103" s="9" t="s">
        <v>614</v>
      </c>
      <c r="B103" s="9" t="s">
        <v>584</v>
      </c>
      <c r="C103" s="9" t="s">
        <v>58</v>
      </c>
      <c r="D103" s="9" t="s">
        <v>67</v>
      </c>
      <c r="E103" s="9" t="s">
        <v>615</v>
      </c>
      <c r="F103" s="9" t="s">
        <v>616</v>
      </c>
      <c r="G103" s="9"/>
      <c r="H103" s="9" t="s">
        <v>592</v>
      </c>
      <c r="I103" s="9" t="s">
        <v>463</v>
      </c>
      <c r="J103" s="9" t="s">
        <v>32</v>
      </c>
      <c r="K103" s="9"/>
      <c r="L103" s="9" t="s">
        <v>617</v>
      </c>
      <c r="M103" s="9"/>
      <c r="N103" s="9" t="s">
        <v>40</v>
      </c>
      <c r="O103" s="10"/>
      <c r="P103" s="10"/>
    </row>
    <row r="104" customFormat="false" ht="43.25" hidden="false" customHeight="false" outlineLevel="0" collapsed="false">
      <c r="A104" s="9" t="s">
        <v>618</v>
      </c>
      <c r="B104" s="9" t="s">
        <v>584</v>
      </c>
      <c r="C104" s="9" t="s">
        <v>58</v>
      </c>
      <c r="D104" s="9" t="s">
        <v>67</v>
      </c>
      <c r="E104" s="9" t="s">
        <v>619</v>
      </c>
      <c r="F104" s="9" t="s">
        <v>620</v>
      </c>
      <c r="G104" s="9"/>
      <c r="H104" s="9" t="s">
        <v>592</v>
      </c>
      <c r="I104" s="9" t="s">
        <v>463</v>
      </c>
      <c r="J104" s="9" t="s">
        <v>32</v>
      </c>
      <c r="K104" s="9"/>
      <c r="L104" s="9" t="s">
        <v>621</v>
      </c>
      <c r="M104" s="9"/>
      <c r="N104" s="9" t="s">
        <v>40</v>
      </c>
      <c r="O104" s="10"/>
      <c r="P104" s="10"/>
    </row>
    <row r="105" customFormat="false" ht="95.5" hidden="false" customHeight="false" outlineLevel="0" collapsed="false">
      <c r="A105" s="9" t="s">
        <v>622</v>
      </c>
      <c r="B105" s="9" t="s">
        <v>623</v>
      </c>
      <c r="C105" s="9" t="s">
        <v>58</v>
      </c>
      <c r="D105" s="9" t="s">
        <v>67</v>
      </c>
      <c r="E105" s="9" t="s">
        <v>624</v>
      </c>
      <c r="F105" s="9" t="s">
        <v>625</v>
      </c>
      <c r="G105" s="9"/>
      <c r="H105" s="9" t="s">
        <v>626</v>
      </c>
      <c r="I105" s="9" t="s">
        <v>470</v>
      </c>
      <c r="J105" s="9" t="s">
        <v>32</v>
      </c>
      <c r="K105" s="9"/>
      <c r="L105" s="9" t="s">
        <v>627</v>
      </c>
      <c r="M105" s="9" t="s">
        <v>628</v>
      </c>
      <c r="N105" s="9" t="s">
        <v>38</v>
      </c>
      <c r="O105" s="10"/>
      <c r="P105" s="10"/>
    </row>
    <row r="106" customFormat="false" ht="147.75" hidden="false" customHeight="false" outlineLevel="0" collapsed="false">
      <c r="A106" s="9" t="s">
        <v>629</v>
      </c>
      <c r="B106" s="9" t="s">
        <v>623</v>
      </c>
      <c r="C106" s="9" t="s">
        <v>58</v>
      </c>
      <c r="D106" s="9" t="s">
        <v>67</v>
      </c>
      <c r="E106" s="9" t="s">
        <v>630</v>
      </c>
      <c r="F106" s="9" t="s">
        <v>631</v>
      </c>
      <c r="G106" s="9"/>
      <c r="H106" s="9" t="s">
        <v>632</v>
      </c>
      <c r="I106" s="9" t="s">
        <v>470</v>
      </c>
      <c r="J106" s="9" t="s">
        <v>33</v>
      </c>
      <c r="K106" s="9" t="s">
        <v>633</v>
      </c>
      <c r="L106" s="9" t="s">
        <v>634</v>
      </c>
      <c r="M106" s="9" t="s">
        <v>635</v>
      </c>
      <c r="N106" s="9" t="s">
        <v>40</v>
      </c>
      <c r="O106" s="10"/>
      <c r="P106" s="10"/>
    </row>
    <row r="107" customFormat="false" ht="85.05" hidden="false" customHeight="false" outlineLevel="0" collapsed="false">
      <c r="A107" s="9" t="s">
        <v>636</v>
      </c>
      <c r="B107" s="9" t="s">
        <v>623</v>
      </c>
      <c r="C107" s="9" t="s">
        <v>58</v>
      </c>
      <c r="D107" s="9" t="s">
        <v>67</v>
      </c>
      <c r="E107" s="9" t="s">
        <v>637</v>
      </c>
      <c r="F107" s="9" t="s">
        <v>638</v>
      </c>
      <c r="G107" s="9"/>
      <c r="H107" s="9" t="s">
        <v>639</v>
      </c>
      <c r="I107" s="9" t="s">
        <v>470</v>
      </c>
      <c r="J107" s="9" t="s">
        <v>73</v>
      </c>
      <c r="K107" s="9" t="s">
        <v>640</v>
      </c>
      <c r="L107" s="9" t="s">
        <v>641</v>
      </c>
      <c r="M107" s="9"/>
      <c r="N107" s="9" t="s">
        <v>40</v>
      </c>
      <c r="O107" s="10"/>
      <c r="P107" s="10"/>
    </row>
    <row r="108" customFormat="false" ht="74.6" hidden="false" customHeight="false" outlineLevel="0" collapsed="false">
      <c r="A108" s="9" t="s">
        <v>642</v>
      </c>
      <c r="B108" s="9" t="s">
        <v>623</v>
      </c>
      <c r="C108" s="9" t="s">
        <v>58</v>
      </c>
      <c r="D108" s="9" t="s">
        <v>67</v>
      </c>
      <c r="E108" s="9" t="s">
        <v>643</v>
      </c>
      <c r="F108" s="9" t="s">
        <v>644</v>
      </c>
      <c r="G108" s="9"/>
      <c r="H108" s="9" t="s">
        <v>645</v>
      </c>
      <c r="I108" s="9" t="s">
        <v>470</v>
      </c>
      <c r="J108" s="9" t="s">
        <v>32</v>
      </c>
      <c r="K108" s="9"/>
      <c r="L108" s="9" t="s">
        <v>646</v>
      </c>
      <c r="M108" s="9"/>
      <c r="N108" s="9" t="s">
        <v>38</v>
      </c>
      <c r="O108" s="10"/>
      <c r="P108" s="10"/>
    </row>
    <row r="109" customFormat="false" ht="64.15" hidden="false" customHeight="false" outlineLevel="0" collapsed="false">
      <c r="A109" s="9" t="s">
        <v>647</v>
      </c>
      <c r="B109" s="9" t="s">
        <v>623</v>
      </c>
      <c r="C109" s="9" t="s">
        <v>58</v>
      </c>
      <c r="D109" s="9" t="s">
        <v>67</v>
      </c>
      <c r="E109" s="9" t="s">
        <v>648</v>
      </c>
      <c r="F109" s="9" t="s">
        <v>649</v>
      </c>
      <c r="G109" s="9"/>
      <c r="H109" s="9" t="s">
        <v>650</v>
      </c>
      <c r="I109" s="9" t="s">
        <v>651</v>
      </c>
      <c r="J109" s="9" t="s">
        <v>32</v>
      </c>
      <c r="K109" s="9"/>
      <c r="L109" s="9" t="s">
        <v>652</v>
      </c>
      <c r="M109" s="9" t="s">
        <v>653</v>
      </c>
      <c r="N109" s="9" t="s">
        <v>39</v>
      </c>
      <c r="O109" s="10"/>
      <c r="P109" s="10"/>
    </row>
    <row r="110" customFormat="false" ht="32.8" hidden="false" customHeight="false" outlineLevel="0" collapsed="false">
      <c r="A110" s="9" t="s">
        <v>654</v>
      </c>
      <c r="B110" s="9" t="s">
        <v>57</v>
      </c>
      <c r="C110" s="9" t="s">
        <v>58</v>
      </c>
      <c r="D110" s="9" t="s">
        <v>655</v>
      </c>
      <c r="E110" s="9" t="s">
        <v>656</v>
      </c>
      <c r="F110" s="9"/>
      <c r="G110" s="9"/>
      <c r="H110" s="9" t="s">
        <v>657</v>
      </c>
      <c r="I110" s="9" t="s">
        <v>72</v>
      </c>
      <c r="J110" s="9" t="s">
        <v>32</v>
      </c>
      <c r="K110" s="9"/>
      <c r="L110" s="9" t="s">
        <v>657</v>
      </c>
      <c r="M110" s="9" t="s">
        <v>658</v>
      </c>
      <c r="N110" s="9" t="s">
        <v>39</v>
      </c>
      <c r="O110" s="10"/>
      <c r="P110" s="10"/>
    </row>
    <row r="111" customFormat="false" ht="43.25" hidden="false" customHeight="false" outlineLevel="0" collapsed="false">
      <c r="A111" s="9" t="s">
        <v>659</v>
      </c>
      <c r="B111" s="9" t="s">
        <v>57</v>
      </c>
      <c r="C111" s="9" t="s">
        <v>58</v>
      </c>
      <c r="D111" s="9" t="s">
        <v>655</v>
      </c>
      <c r="E111" s="9" t="s">
        <v>660</v>
      </c>
      <c r="F111" s="9"/>
      <c r="G111" s="9"/>
      <c r="H111" s="9" t="s">
        <v>661</v>
      </c>
      <c r="I111" s="9" t="s">
        <v>72</v>
      </c>
      <c r="J111" s="9" t="s">
        <v>32</v>
      </c>
      <c r="K111" s="9"/>
      <c r="L111" s="9" t="s">
        <v>661</v>
      </c>
      <c r="M111" s="9"/>
      <c r="N111" s="9" t="s">
        <v>39</v>
      </c>
      <c r="O111" s="10"/>
      <c r="P111" s="10"/>
    </row>
    <row r="112" customFormat="false" ht="43.25" hidden="false" customHeight="false" outlineLevel="0" collapsed="false">
      <c r="A112" s="9" t="s">
        <v>662</v>
      </c>
      <c r="B112" s="9" t="s">
        <v>57</v>
      </c>
      <c r="C112" s="9" t="s">
        <v>58</v>
      </c>
      <c r="D112" s="9" t="s">
        <v>655</v>
      </c>
      <c r="E112" s="9" t="s">
        <v>663</v>
      </c>
      <c r="F112" s="9"/>
      <c r="G112" s="9"/>
      <c r="H112" s="9" t="s">
        <v>664</v>
      </c>
      <c r="I112" s="9" t="s">
        <v>72</v>
      </c>
      <c r="J112" s="9" t="s">
        <v>32</v>
      </c>
      <c r="K112" s="9"/>
      <c r="L112" s="9" t="s">
        <v>664</v>
      </c>
      <c r="M112" s="9"/>
      <c r="N112" s="9" t="s">
        <v>39</v>
      </c>
      <c r="O112" s="10"/>
      <c r="P112" s="10"/>
    </row>
    <row r="113" customFormat="false" ht="43.25" hidden="false" customHeight="false" outlineLevel="0" collapsed="false">
      <c r="A113" s="9" t="s">
        <v>665</v>
      </c>
      <c r="B113" s="9" t="s">
        <v>57</v>
      </c>
      <c r="C113" s="9" t="s">
        <v>58</v>
      </c>
      <c r="D113" s="9" t="s">
        <v>666</v>
      </c>
      <c r="E113" s="9" t="s">
        <v>667</v>
      </c>
      <c r="F113" s="9"/>
      <c r="G113" s="9"/>
      <c r="H113" s="9"/>
      <c r="I113" s="9" t="s">
        <v>668</v>
      </c>
      <c r="J113" s="9" t="s">
        <v>33</v>
      </c>
      <c r="K113" s="9" t="s">
        <v>669</v>
      </c>
      <c r="L113" s="9" t="s">
        <v>670</v>
      </c>
      <c r="M113" s="9" t="s">
        <v>671</v>
      </c>
      <c r="N113" s="9" t="s">
        <v>39</v>
      </c>
      <c r="O113" s="10"/>
      <c r="P113" s="10"/>
    </row>
    <row r="114" customFormat="false" ht="32.8" hidden="false" customHeight="false" outlineLevel="0" collapsed="false">
      <c r="A114" s="9" t="s">
        <v>672</v>
      </c>
      <c r="B114" s="9" t="s">
        <v>57</v>
      </c>
      <c r="C114" s="9" t="s">
        <v>58</v>
      </c>
      <c r="D114" s="9" t="s">
        <v>666</v>
      </c>
      <c r="E114" s="9" t="s">
        <v>673</v>
      </c>
      <c r="F114" s="9"/>
      <c r="G114" s="9"/>
      <c r="H114" s="9"/>
      <c r="I114" s="9" t="s">
        <v>668</v>
      </c>
      <c r="J114" s="9" t="s">
        <v>33</v>
      </c>
      <c r="K114" s="9" t="s">
        <v>674</v>
      </c>
      <c r="L114" s="9" t="s">
        <v>675</v>
      </c>
      <c r="M114" s="9" t="s">
        <v>676</v>
      </c>
      <c r="N114" s="9" t="s">
        <v>39</v>
      </c>
      <c r="O114" s="10"/>
      <c r="P114" s="10"/>
    </row>
    <row r="115" customFormat="false" ht="43.25" hidden="false" customHeight="false" outlineLevel="0" collapsed="false">
      <c r="A115" s="9" t="s">
        <v>677</v>
      </c>
      <c r="B115" s="9" t="s">
        <v>57</v>
      </c>
      <c r="C115" s="9" t="s">
        <v>58</v>
      </c>
      <c r="D115" s="9" t="s">
        <v>666</v>
      </c>
      <c r="E115" s="9" t="s">
        <v>678</v>
      </c>
      <c r="F115" s="9"/>
      <c r="G115" s="9" t="s">
        <v>679</v>
      </c>
      <c r="H115" s="9"/>
      <c r="I115" s="9" t="s">
        <v>668</v>
      </c>
      <c r="J115" s="9" t="s">
        <v>33</v>
      </c>
      <c r="K115" s="9" t="s">
        <v>680</v>
      </c>
      <c r="L115" s="9" t="s">
        <v>681</v>
      </c>
      <c r="M115" s="9" t="s">
        <v>682</v>
      </c>
      <c r="N115" s="9" t="s">
        <v>39</v>
      </c>
      <c r="O115" s="10"/>
      <c r="P115" s="10"/>
    </row>
    <row r="116" customFormat="false" ht="32.8" hidden="false" customHeight="false" outlineLevel="0" collapsed="false">
      <c r="A116" s="9" t="s">
        <v>683</v>
      </c>
      <c r="B116" s="9" t="s">
        <v>57</v>
      </c>
      <c r="C116" s="9" t="s">
        <v>58</v>
      </c>
      <c r="D116" s="9" t="s">
        <v>666</v>
      </c>
      <c r="E116" s="9" t="s">
        <v>684</v>
      </c>
      <c r="F116" s="9"/>
      <c r="G116" s="9"/>
      <c r="H116" s="9"/>
      <c r="I116" s="9" t="s">
        <v>668</v>
      </c>
      <c r="J116" s="9" t="s">
        <v>32</v>
      </c>
      <c r="K116" s="9"/>
      <c r="L116" s="9" t="s">
        <v>685</v>
      </c>
      <c r="M116" s="9" t="s">
        <v>686</v>
      </c>
      <c r="N116" s="9" t="s">
        <v>39</v>
      </c>
      <c r="O116" s="10"/>
      <c r="P116" s="10"/>
    </row>
    <row r="117" customFormat="false" ht="32.8" hidden="false" customHeight="false" outlineLevel="0" collapsed="false">
      <c r="A117" s="9" t="s">
        <v>687</v>
      </c>
      <c r="B117" s="9" t="s">
        <v>57</v>
      </c>
      <c r="C117" s="9" t="s">
        <v>58</v>
      </c>
      <c r="D117" s="9" t="s">
        <v>688</v>
      </c>
      <c r="E117" s="9" t="s">
        <v>689</v>
      </c>
      <c r="F117" s="9"/>
      <c r="G117" s="9"/>
      <c r="H117" s="9"/>
      <c r="I117" s="9" t="s">
        <v>61</v>
      </c>
      <c r="J117" s="9" t="s">
        <v>32</v>
      </c>
      <c r="K117" s="9" t="s">
        <v>690</v>
      </c>
      <c r="L117" s="9" t="s">
        <v>691</v>
      </c>
      <c r="M117" s="9"/>
      <c r="N117" s="9" t="s">
        <v>39</v>
      </c>
      <c r="O117" s="10"/>
      <c r="P117" s="10"/>
    </row>
    <row r="118" customFormat="false" ht="53.7" hidden="false" customHeight="false" outlineLevel="0" collapsed="false">
      <c r="A118" s="9" t="s">
        <v>692</v>
      </c>
      <c r="B118" s="9" t="s">
        <v>57</v>
      </c>
      <c r="C118" s="9" t="s">
        <v>58</v>
      </c>
      <c r="D118" s="9" t="s">
        <v>688</v>
      </c>
      <c r="E118" s="9" t="s">
        <v>693</v>
      </c>
      <c r="F118" s="9"/>
      <c r="G118" s="9"/>
      <c r="H118" s="9"/>
      <c r="I118" s="9" t="s">
        <v>61</v>
      </c>
      <c r="J118" s="9" t="s">
        <v>33</v>
      </c>
      <c r="K118" s="9" t="s">
        <v>694</v>
      </c>
      <c r="L118" s="9" t="s">
        <v>695</v>
      </c>
      <c r="M118" s="9" t="s">
        <v>696</v>
      </c>
      <c r="N118" s="9" t="s">
        <v>39</v>
      </c>
      <c r="O118" s="10"/>
      <c r="P118" s="10"/>
    </row>
    <row r="119" customFormat="false" ht="32.8" hidden="false" customHeight="false" outlineLevel="0" collapsed="false">
      <c r="A119" s="9" t="s">
        <v>697</v>
      </c>
      <c r="B119" s="9" t="s">
        <v>57</v>
      </c>
      <c r="C119" s="9" t="s">
        <v>698</v>
      </c>
      <c r="D119" s="9" t="s">
        <v>699</v>
      </c>
      <c r="E119" s="9" t="s">
        <v>700</v>
      </c>
      <c r="F119" s="9"/>
      <c r="G119" s="9"/>
      <c r="H119" s="9" t="s">
        <v>701</v>
      </c>
      <c r="I119" s="9" t="s">
        <v>72</v>
      </c>
      <c r="J119" s="9" t="s">
        <v>32</v>
      </c>
      <c r="K119" s="9"/>
      <c r="L119" s="9" t="s">
        <v>702</v>
      </c>
      <c r="M119" s="9"/>
      <c r="N119" s="9" t="s">
        <v>39</v>
      </c>
      <c r="O119" s="10"/>
      <c r="P119" s="10"/>
    </row>
    <row r="120" customFormat="false" ht="32.8" hidden="false" customHeight="false" outlineLevel="0" collapsed="false">
      <c r="A120" s="9" t="s">
        <v>703</v>
      </c>
      <c r="B120" s="9" t="s">
        <v>57</v>
      </c>
      <c r="C120" s="9" t="s">
        <v>698</v>
      </c>
      <c r="D120" s="9" t="s">
        <v>699</v>
      </c>
      <c r="E120" s="9" t="s">
        <v>704</v>
      </c>
      <c r="F120" s="9"/>
      <c r="G120" s="9"/>
      <c r="H120" s="9" t="s">
        <v>705</v>
      </c>
      <c r="I120" s="9" t="s">
        <v>72</v>
      </c>
      <c r="J120" s="9" t="s">
        <v>32</v>
      </c>
      <c r="K120" s="9"/>
      <c r="L120" s="9" t="s">
        <v>706</v>
      </c>
      <c r="M120" s="9"/>
      <c r="N120" s="9" t="s">
        <v>39</v>
      </c>
      <c r="O120" s="10"/>
      <c r="P120" s="10"/>
    </row>
    <row r="121" customFormat="false" ht="32.8" hidden="false" customHeight="false" outlineLevel="0" collapsed="false">
      <c r="A121" s="9" t="s">
        <v>707</v>
      </c>
      <c r="B121" s="9" t="s">
        <v>57</v>
      </c>
      <c r="C121" s="9" t="s">
        <v>698</v>
      </c>
      <c r="D121" s="9" t="s">
        <v>699</v>
      </c>
      <c r="E121" s="9" t="s">
        <v>708</v>
      </c>
      <c r="F121" s="9"/>
      <c r="G121" s="9"/>
      <c r="H121" s="9" t="s">
        <v>709</v>
      </c>
      <c r="I121" s="9" t="s">
        <v>72</v>
      </c>
      <c r="J121" s="9" t="s">
        <v>32</v>
      </c>
      <c r="K121" s="9" t="s">
        <v>98</v>
      </c>
      <c r="L121" s="9" t="s">
        <v>710</v>
      </c>
      <c r="M121" s="9"/>
      <c r="N121" s="9" t="s">
        <v>39</v>
      </c>
      <c r="O121" s="10"/>
      <c r="P121" s="10"/>
    </row>
    <row r="122" customFormat="false" ht="22.35" hidden="false" customHeight="false" outlineLevel="0" collapsed="false">
      <c r="A122" s="9" t="s">
        <v>711</v>
      </c>
      <c r="B122" s="9" t="s">
        <v>57</v>
      </c>
      <c r="C122" s="9" t="s">
        <v>698</v>
      </c>
      <c r="D122" s="9" t="s">
        <v>699</v>
      </c>
      <c r="E122" s="9" t="s">
        <v>712</v>
      </c>
      <c r="F122" s="9"/>
      <c r="G122" s="9"/>
      <c r="H122" s="9" t="s">
        <v>377</v>
      </c>
      <c r="I122" s="9" t="s">
        <v>72</v>
      </c>
      <c r="J122" s="9" t="s">
        <v>32</v>
      </c>
      <c r="K122" s="9"/>
      <c r="L122" s="9" t="s">
        <v>378</v>
      </c>
      <c r="M122" s="9"/>
      <c r="N122" s="9" t="s">
        <v>39</v>
      </c>
      <c r="O122" s="10"/>
      <c r="P122" s="10"/>
    </row>
    <row r="123" customFormat="false" ht="22.35" hidden="false" customHeight="false" outlineLevel="0" collapsed="false">
      <c r="A123" s="9" t="s">
        <v>713</v>
      </c>
      <c r="B123" s="9" t="s">
        <v>57</v>
      </c>
      <c r="C123" s="9" t="s">
        <v>698</v>
      </c>
      <c r="D123" s="9" t="s">
        <v>699</v>
      </c>
      <c r="E123" s="9" t="s">
        <v>714</v>
      </c>
      <c r="F123" s="9"/>
      <c r="G123" s="9"/>
      <c r="H123" s="9" t="s">
        <v>329</v>
      </c>
      <c r="I123" s="9" t="s">
        <v>72</v>
      </c>
      <c r="J123" s="9" t="s">
        <v>32</v>
      </c>
      <c r="K123" s="9" t="s">
        <v>144</v>
      </c>
      <c r="L123" s="9" t="s">
        <v>406</v>
      </c>
      <c r="M123" s="9"/>
      <c r="N123" s="9" t="s">
        <v>39</v>
      </c>
      <c r="O123" s="10"/>
      <c r="P123" s="10"/>
    </row>
    <row r="124" customFormat="false" ht="32.8" hidden="false" customHeight="false" outlineLevel="0" collapsed="false">
      <c r="A124" s="9" t="s">
        <v>715</v>
      </c>
      <c r="B124" s="9" t="s">
        <v>57</v>
      </c>
      <c r="C124" s="9" t="s">
        <v>698</v>
      </c>
      <c r="D124" s="9" t="s">
        <v>699</v>
      </c>
      <c r="E124" s="9" t="s">
        <v>716</v>
      </c>
      <c r="F124" s="9"/>
      <c r="G124" s="9"/>
      <c r="H124" s="9" t="s">
        <v>71</v>
      </c>
      <c r="I124" s="9" t="s">
        <v>72</v>
      </c>
      <c r="J124" s="9" t="s">
        <v>32</v>
      </c>
      <c r="K124" s="9" t="s">
        <v>144</v>
      </c>
      <c r="L124" s="9" t="s">
        <v>717</v>
      </c>
      <c r="M124" s="9"/>
      <c r="N124" s="9" t="s">
        <v>39</v>
      </c>
      <c r="O124" s="10"/>
      <c r="P124" s="10"/>
    </row>
    <row r="125" customFormat="false" ht="43.25" hidden="false" customHeight="false" outlineLevel="0" collapsed="false">
      <c r="A125" s="9" t="s">
        <v>718</v>
      </c>
      <c r="B125" s="9" t="s">
        <v>57</v>
      </c>
      <c r="C125" s="9" t="s">
        <v>698</v>
      </c>
      <c r="D125" s="9" t="s">
        <v>699</v>
      </c>
      <c r="E125" s="9" t="s">
        <v>719</v>
      </c>
      <c r="F125" s="9"/>
      <c r="G125" s="9"/>
      <c r="H125" s="9" t="s">
        <v>720</v>
      </c>
      <c r="I125" s="9" t="s">
        <v>72</v>
      </c>
      <c r="J125" s="9" t="s">
        <v>33</v>
      </c>
      <c r="K125" s="9" t="s">
        <v>721</v>
      </c>
      <c r="L125" s="9" t="s">
        <v>722</v>
      </c>
      <c r="M125" s="9" t="s">
        <v>723</v>
      </c>
      <c r="N125" s="9" t="s">
        <v>38</v>
      </c>
      <c r="O125" s="10"/>
      <c r="P125" s="10"/>
    </row>
    <row r="126" customFormat="false" ht="32.8" hidden="false" customHeight="false" outlineLevel="0" collapsed="false">
      <c r="A126" s="9" t="s">
        <v>724</v>
      </c>
      <c r="B126" s="9" t="s">
        <v>57</v>
      </c>
      <c r="C126" s="9" t="s">
        <v>698</v>
      </c>
      <c r="D126" s="9" t="s">
        <v>699</v>
      </c>
      <c r="E126" s="9" t="s">
        <v>725</v>
      </c>
      <c r="F126" s="9"/>
      <c r="G126" s="9"/>
      <c r="H126" s="9" t="s">
        <v>726</v>
      </c>
      <c r="I126" s="9" t="s">
        <v>72</v>
      </c>
      <c r="J126" s="9" t="s">
        <v>32</v>
      </c>
      <c r="K126" s="9"/>
      <c r="L126" s="9" t="s">
        <v>726</v>
      </c>
      <c r="M126" s="9"/>
      <c r="N126" s="9" t="s">
        <v>39</v>
      </c>
      <c r="O126" s="10"/>
      <c r="P126" s="10"/>
    </row>
    <row r="127" customFormat="false" ht="22.35" hidden="false" customHeight="false" outlineLevel="0" collapsed="false">
      <c r="A127" s="9" t="s">
        <v>727</v>
      </c>
      <c r="B127" s="9" t="s">
        <v>57</v>
      </c>
      <c r="C127" s="9" t="s">
        <v>698</v>
      </c>
      <c r="D127" s="9" t="s">
        <v>699</v>
      </c>
      <c r="E127" s="9" t="s">
        <v>728</v>
      </c>
      <c r="F127" s="9"/>
      <c r="G127" s="9"/>
      <c r="H127" s="9" t="s">
        <v>329</v>
      </c>
      <c r="I127" s="9" t="s">
        <v>72</v>
      </c>
      <c r="J127" s="9" t="s">
        <v>32</v>
      </c>
      <c r="K127" s="9" t="s">
        <v>144</v>
      </c>
      <c r="L127" s="9" t="s">
        <v>729</v>
      </c>
      <c r="M127" s="9"/>
      <c r="N127" s="9" t="s">
        <v>39</v>
      </c>
      <c r="O127" s="10"/>
      <c r="P127" s="10"/>
    </row>
    <row r="128" customFormat="false" ht="43.25" hidden="false" customHeight="false" outlineLevel="0" collapsed="false">
      <c r="A128" s="9" t="s">
        <v>730</v>
      </c>
      <c r="B128" s="9" t="s">
        <v>731</v>
      </c>
      <c r="C128" s="9" t="s">
        <v>698</v>
      </c>
      <c r="D128" s="9" t="s">
        <v>699</v>
      </c>
      <c r="E128" s="9" t="s">
        <v>732</v>
      </c>
      <c r="F128" s="9"/>
      <c r="G128" s="9"/>
      <c r="H128" s="9" t="s">
        <v>334</v>
      </c>
      <c r="I128" s="9" t="s">
        <v>72</v>
      </c>
      <c r="J128" s="9" t="s">
        <v>32</v>
      </c>
      <c r="K128" s="9" t="s">
        <v>733</v>
      </c>
      <c r="L128" s="9" t="s">
        <v>734</v>
      </c>
      <c r="M128" s="9" t="s">
        <v>735</v>
      </c>
      <c r="N128" s="9" t="s">
        <v>39</v>
      </c>
      <c r="O128" s="10"/>
      <c r="P128" s="10"/>
    </row>
    <row r="129" customFormat="false" ht="32.8" hidden="false" customHeight="false" outlineLevel="0" collapsed="false">
      <c r="A129" s="9" t="s">
        <v>736</v>
      </c>
      <c r="B129" s="9" t="s">
        <v>57</v>
      </c>
      <c r="C129" s="9" t="s">
        <v>698</v>
      </c>
      <c r="D129" s="9" t="s">
        <v>699</v>
      </c>
      <c r="E129" s="9" t="s">
        <v>737</v>
      </c>
      <c r="F129" s="9"/>
      <c r="G129" s="9"/>
      <c r="H129" s="9" t="s">
        <v>71</v>
      </c>
      <c r="I129" s="9" t="s">
        <v>72</v>
      </c>
      <c r="J129" s="9" t="s">
        <v>32</v>
      </c>
      <c r="K129" s="9"/>
      <c r="L129" s="9" t="s">
        <v>738</v>
      </c>
      <c r="M129" s="9"/>
      <c r="N129" s="9" t="s">
        <v>39</v>
      </c>
      <c r="O129" s="10"/>
      <c r="P129" s="10"/>
    </row>
    <row r="130" customFormat="false" ht="32.8" hidden="false" customHeight="false" outlineLevel="0" collapsed="false">
      <c r="A130" s="9" t="s">
        <v>739</v>
      </c>
      <c r="B130" s="9" t="s">
        <v>66</v>
      </c>
      <c r="C130" s="9" t="s">
        <v>698</v>
      </c>
      <c r="D130" s="9" t="s">
        <v>699</v>
      </c>
      <c r="E130" s="9" t="s">
        <v>740</v>
      </c>
      <c r="F130" s="9"/>
      <c r="G130" s="9"/>
      <c r="H130" s="9" t="s">
        <v>84</v>
      </c>
      <c r="I130" s="9" t="s">
        <v>72</v>
      </c>
      <c r="J130" s="9" t="s">
        <v>32</v>
      </c>
      <c r="K130" s="9"/>
      <c r="L130" s="9" t="s">
        <v>84</v>
      </c>
      <c r="M130" s="9"/>
      <c r="N130" s="9" t="s">
        <v>38</v>
      </c>
      <c r="O130" s="10"/>
      <c r="P130" s="10"/>
    </row>
    <row r="131" customFormat="false" ht="22.35" hidden="false" customHeight="false" outlineLevel="0" collapsed="false">
      <c r="A131" s="9" t="s">
        <v>741</v>
      </c>
      <c r="B131" s="9" t="s">
        <v>742</v>
      </c>
      <c r="C131" s="9" t="s">
        <v>698</v>
      </c>
      <c r="D131" s="9" t="s">
        <v>699</v>
      </c>
      <c r="E131" s="9" t="s">
        <v>743</v>
      </c>
      <c r="F131" s="9"/>
      <c r="G131" s="9"/>
      <c r="H131" s="9" t="s">
        <v>71</v>
      </c>
      <c r="I131" s="9" t="s">
        <v>72</v>
      </c>
      <c r="J131" s="9" t="s">
        <v>32</v>
      </c>
      <c r="K131" s="9"/>
      <c r="L131" s="9" t="s">
        <v>744</v>
      </c>
      <c r="M131" s="9"/>
      <c r="N131" s="9" t="s">
        <v>39</v>
      </c>
      <c r="O131" s="10"/>
      <c r="P131" s="10"/>
    </row>
    <row r="132" customFormat="false" ht="32.8" hidden="false" customHeight="false" outlineLevel="0" collapsed="false">
      <c r="A132" s="9" t="s">
        <v>745</v>
      </c>
      <c r="B132" s="9" t="s">
        <v>147</v>
      </c>
      <c r="C132" s="9" t="s">
        <v>698</v>
      </c>
      <c r="D132" s="9" t="s">
        <v>699</v>
      </c>
      <c r="E132" s="9" t="s">
        <v>746</v>
      </c>
      <c r="F132" s="9"/>
      <c r="G132" s="9"/>
      <c r="H132" s="9" t="s">
        <v>71</v>
      </c>
      <c r="I132" s="9" t="s">
        <v>72</v>
      </c>
      <c r="J132" s="9" t="s">
        <v>32</v>
      </c>
      <c r="K132" s="9"/>
      <c r="L132" s="9" t="s">
        <v>747</v>
      </c>
      <c r="M132" s="9"/>
      <c r="N132" s="9" t="s">
        <v>39</v>
      </c>
      <c r="O132" s="10"/>
      <c r="P132" s="10"/>
    </row>
    <row r="133" customFormat="false" ht="32.8" hidden="false" customHeight="false" outlineLevel="0" collapsed="false">
      <c r="A133" s="9" t="s">
        <v>748</v>
      </c>
      <c r="B133" s="9" t="s">
        <v>147</v>
      </c>
      <c r="C133" s="9" t="s">
        <v>698</v>
      </c>
      <c r="D133" s="9" t="s">
        <v>699</v>
      </c>
      <c r="E133" s="9" t="s">
        <v>749</v>
      </c>
      <c r="F133" s="9"/>
      <c r="G133" s="9"/>
      <c r="H133" s="9" t="s">
        <v>71</v>
      </c>
      <c r="I133" s="9" t="s">
        <v>72</v>
      </c>
      <c r="J133" s="9" t="s">
        <v>32</v>
      </c>
      <c r="K133" s="9"/>
      <c r="L133" s="9" t="s">
        <v>71</v>
      </c>
      <c r="M133" s="9"/>
      <c r="N133" s="9" t="s">
        <v>39</v>
      </c>
      <c r="O133" s="10"/>
      <c r="P133" s="10"/>
    </row>
    <row r="134" customFormat="false" ht="22.35" hidden="false" customHeight="false" outlineLevel="0" collapsed="false">
      <c r="A134" s="9" t="s">
        <v>750</v>
      </c>
      <c r="B134" s="9" t="s">
        <v>216</v>
      </c>
      <c r="C134" s="9" t="s">
        <v>698</v>
      </c>
      <c r="D134" s="9" t="s">
        <v>699</v>
      </c>
      <c r="E134" s="9" t="s">
        <v>751</v>
      </c>
      <c r="F134" s="9"/>
      <c r="G134" s="9"/>
      <c r="H134" s="9" t="s">
        <v>720</v>
      </c>
      <c r="I134" s="9" t="s">
        <v>72</v>
      </c>
      <c r="J134" s="9" t="s">
        <v>32</v>
      </c>
      <c r="K134" s="9"/>
      <c r="L134" s="9" t="s">
        <v>752</v>
      </c>
      <c r="M134" s="9"/>
      <c r="N134" s="9" t="s">
        <v>38</v>
      </c>
      <c r="O134" s="10"/>
      <c r="P134" s="10"/>
    </row>
    <row r="135" customFormat="false" ht="32.8" hidden="false" customHeight="false" outlineLevel="0" collapsed="false">
      <c r="A135" s="9" t="s">
        <v>753</v>
      </c>
      <c r="B135" s="9" t="s">
        <v>754</v>
      </c>
      <c r="C135" s="9" t="s">
        <v>698</v>
      </c>
      <c r="D135" s="9" t="s">
        <v>699</v>
      </c>
      <c r="E135" s="9" t="s">
        <v>755</v>
      </c>
      <c r="F135" s="9"/>
      <c r="G135" s="9" t="s">
        <v>756</v>
      </c>
      <c r="H135" s="9" t="s">
        <v>334</v>
      </c>
      <c r="I135" s="9" t="s">
        <v>72</v>
      </c>
      <c r="J135" s="9" t="s">
        <v>33</v>
      </c>
      <c r="K135" s="9" t="s">
        <v>757</v>
      </c>
      <c r="L135" s="9" t="s">
        <v>758</v>
      </c>
      <c r="M135" s="9" t="s">
        <v>759</v>
      </c>
      <c r="N135" s="9" t="s">
        <v>38</v>
      </c>
      <c r="O135" s="10"/>
      <c r="P135" s="10"/>
    </row>
    <row r="136" customFormat="false" ht="32.8" hidden="false" customHeight="false" outlineLevel="0" collapsed="false">
      <c r="A136" s="9" t="s">
        <v>760</v>
      </c>
      <c r="B136" s="9" t="s">
        <v>298</v>
      </c>
      <c r="C136" s="9" t="s">
        <v>698</v>
      </c>
      <c r="D136" s="9" t="s">
        <v>699</v>
      </c>
      <c r="E136" s="9" t="s">
        <v>761</v>
      </c>
      <c r="F136" s="9"/>
      <c r="G136" s="9"/>
      <c r="H136" s="9" t="s">
        <v>334</v>
      </c>
      <c r="I136" s="9" t="s">
        <v>72</v>
      </c>
      <c r="J136" s="9" t="s">
        <v>32</v>
      </c>
      <c r="K136" s="9"/>
      <c r="L136" s="9" t="s">
        <v>762</v>
      </c>
      <c r="M136" s="9"/>
      <c r="N136" s="9" t="s">
        <v>39</v>
      </c>
      <c r="O136" s="10"/>
      <c r="P136" s="10"/>
    </row>
    <row r="137" customFormat="false" ht="22.35" hidden="false" customHeight="false" outlineLevel="0" collapsed="false">
      <c r="A137" s="9" t="s">
        <v>763</v>
      </c>
      <c r="B137" s="9" t="s">
        <v>374</v>
      </c>
      <c r="C137" s="9" t="s">
        <v>698</v>
      </c>
      <c r="D137" s="9" t="s">
        <v>699</v>
      </c>
      <c r="E137" s="9" t="s">
        <v>764</v>
      </c>
      <c r="F137" s="9"/>
      <c r="G137" s="9"/>
      <c r="H137" s="9" t="s">
        <v>377</v>
      </c>
      <c r="I137" s="9" t="s">
        <v>72</v>
      </c>
      <c r="J137" s="9" t="s">
        <v>32</v>
      </c>
      <c r="K137" s="9"/>
      <c r="L137" s="9" t="s">
        <v>377</v>
      </c>
      <c r="M137" s="9"/>
      <c r="N137" s="9" t="s">
        <v>39</v>
      </c>
      <c r="O137" s="10"/>
      <c r="P137" s="10"/>
    </row>
    <row r="138" customFormat="false" ht="22.35" hidden="false" customHeight="false" outlineLevel="0" collapsed="false">
      <c r="A138" s="9" t="s">
        <v>765</v>
      </c>
      <c r="B138" s="9" t="s">
        <v>374</v>
      </c>
      <c r="C138" s="9" t="s">
        <v>698</v>
      </c>
      <c r="D138" s="9" t="s">
        <v>699</v>
      </c>
      <c r="E138" s="9" t="s">
        <v>766</v>
      </c>
      <c r="F138" s="9"/>
      <c r="G138" s="9"/>
      <c r="H138" s="9" t="s">
        <v>329</v>
      </c>
      <c r="I138" s="9" t="s">
        <v>72</v>
      </c>
      <c r="J138" s="9" t="s">
        <v>32</v>
      </c>
      <c r="K138" s="9"/>
      <c r="L138" s="9" t="s">
        <v>767</v>
      </c>
      <c r="M138" s="9"/>
      <c r="N138" s="9" t="s">
        <v>39</v>
      </c>
      <c r="O138" s="10"/>
      <c r="P138" s="10"/>
    </row>
    <row r="139" customFormat="false" ht="64.15" hidden="false" customHeight="false" outlineLevel="0" collapsed="false">
      <c r="A139" s="9" t="s">
        <v>768</v>
      </c>
      <c r="B139" s="9" t="s">
        <v>298</v>
      </c>
      <c r="C139" s="9" t="s">
        <v>698</v>
      </c>
      <c r="D139" s="9" t="s">
        <v>699</v>
      </c>
      <c r="E139" s="9" t="s">
        <v>769</v>
      </c>
      <c r="F139" s="9"/>
      <c r="G139" s="9"/>
      <c r="H139" s="9" t="s">
        <v>449</v>
      </c>
      <c r="I139" s="9" t="s">
        <v>72</v>
      </c>
      <c r="J139" s="9" t="s">
        <v>32</v>
      </c>
      <c r="K139" s="9"/>
      <c r="L139" s="9" t="s">
        <v>770</v>
      </c>
      <c r="M139" s="9"/>
      <c r="N139" s="9" t="s">
        <v>39</v>
      </c>
      <c r="O139" s="10"/>
      <c r="P139" s="10"/>
    </row>
    <row r="140" customFormat="false" ht="22.35" hidden="false" customHeight="false" outlineLevel="0" collapsed="false">
      <c r="A140" s="9" t="s">
        <v>771</v>
      </c>
      <c r="B140" s="9" t="s">
        <v>515</v>
      </c>
      <c r="C140" s="9" t="s">
        <v>698</v>
      </c>
      <c r="D140" s="9" t="s">
        <v>699</v>
      </c>
      <c r="E140" s="9" t="s">
        <v>772</v>
      </c>
      <c r="F140" s="9"/>
      <c r="G140" s="9"/>
      <c r="H140" s="9" t="s">
        <v>773</v>
      </c>
      <c r="I140" s="9" t="s">
        <v>470</v>
      </c>
      <c r="J140" s="9" t="s">
        <v>32</v>
      </c>
      <c r="K140" s="9"/>
      <c r="L140" s="9" t="s">
        <v>535</v>
      </c>
      <c r="M140" s="9"/>
      <c r="N140" s="9" t="s">
        <v>39</v>
      </c>
      <c r="O140" s="10"/>
      <c r="P140" s="10"/>
    </row>
    <row r="141" customFormat="false" ht="22.35" hidden="false" customHeight="false" outlineLevel="0" collapsed="false">
      <c r="A141" s="9" t="s">
        <v>774</v>
      </c>
      <c r="B141" s="9" t="s">
        <v>515</v>
      </c>
      <c r="C141" s="9" t="s">
        <v>698</v>
      </c>
      <c r="D141" s="9" t="s">
        <v>699</v>
      </c>
      <c r="E141" s="9" t="s">
        <v>775</v>
      </c>
      <c r="F141" s="9"/>
      <c r="G141" s="9"/>
      <c r="H141" s="9" t="s">
        <v>524</v>
      </c>
      <c r="I141" s="9" t="s">
        <v>72</v>
      </c>
      <c r="J141" s="9" t="s">
        <v>32</v>
      </c>
      <c r="K141" s="9"/>
      <c r="L141" s="9" t="s">
        <v>524</v>
      </c>
      <c r="M141" s="9"/>
      <c r="N141" s="9" t="s">
        <v>39</v>
      </c>
      <c r="O141" s="10"/>
      <c r="P141" s="10"/>
    </row>
    <row r="142" customFormat="false" ht="32.8" hidden="false" customHeight="false" outlineLevel="0" collapsed="false">
      <c r="A142" s="9" t="s">
        <v>776</v>
      </c>
      <c r="B142" s="9" t="s">
        <v>515</v>
      </c>
      <c r="C142" s="9" t="s">
        <v>698</v>
      </c>
      <c r="D142" s="9" t="s">
        <v>699</v>
      </c>
      <c r="E142" s="9" t="s">
        <v>777</v>
      </c>
      <c r="F142" s="9"/>
      <c r="G142" s="9"/>
      <c r="H142" s="9" t="s">
        <v>530</v>
      </c>
      <c r="I142" s="9" t="s">
        <v>72</v>
      </c>
      <c r="J142" s="9" t="s">
        <v>32</v>
      </c>
      <c r="K142" s="9"/>
      <c r="L142" s="9" t="s">
        <v>530</v>
      </c>
      <c r="M142" s="9"/>
      <c r="N142" s="9" t="s">
        <v>39</v>
      </c>
      <c r="O142" s="10"/>
      <c r="P142" s="10"/>
    </row>
    <row r="143" customFormat="false" ht="22.35" hidden="false" customHeight="false" outlineLevel="0" collapsed="false">
      <c r="A143" s="9" t="s">
        <v>778</v>
      </c>
      <c r="B143" s="9" t="s">
        <v>515</v>
      </c>
      <c r="C143" s="9" t="s">
        <v>698</v>
      </c>
      <c r="D143" s="9" t="s">
        <v>699</v>
      </c>
      <c r="E143" s="9" t="s">
        <v>779</v>
      </c>
      <c r="F143" s="9"/>
      <c r="G143" s="9"/>
      <c r="H143" s="9" t="s">
        <v>470</v>
      </c>
      <c r="I143" s="9" t="s">
        <v>470</v>
      </c>
      <c r="J143" s="9" t="s">
        <v>32</v>
      </c>
      <c r="K143" s="9"/>
      <c r="L143" s="9" t="s">
        <v>535</v>
      </c>
      <c r="M143" s="9"/>
      <c r="N143" s="9" t="s">
        <v>40</v>
      </c>
      <c r="O143" s="10"/>
      <c r="P143" s="10"/>
    </row>
    <row r="144" customFormat="false" ht="32.8" hidden="false" customHeight="false" outlineLevel="0" collapsed="false">
      <c r="A144" s="9" t="s">
        <v>780</v>
      </c>
      <c r="B144" s="9" t="s">
        <v>515</v>
      </c>
      <c r="C144" s="9" t="s">
        <v>698</v>
      </c>
      <c r="D144" s="9" t="s">
        <v>699</v>
      </c>
      <c r="E144" s="9" t="s">
        <v>781</v>
      </c>
      <c r="F144" s="9"/>
      <c r="G144" s="9"/>
      <c r="H144" s="9" t="s">
        <v>539</v>
      </c>
      <c r="I144" s="9" t="s">
        <v>470</v>
      </c>
      <c r="J144" s="9" t="s">
        <v>32</v>
      </c>
      <c r="K144" s="9"/>
      <c r="L144" s="9" t="s">
        <v>535</v>
      </c>
      <c r="M144" s="9"/>
      <c r="N144" s="9" t="s">
        <v>39</v>
      </c>
      <c r="O144" s="10"/>
      <c r="P144" s="10"/>
    </row>
    <row r="145" customFormat="false" ht="22.35" hidden="false" customHeight="false" outlineLevel="0" collapsed="false">
      <c r="A145" s="9" t="s">
        <v>782</v>
      </c>
      <c r="B145" s="9" t="s">
        <v>515</v>
      </c>
      <c r="C145" s="9" t="s">
        <v>698</v>
      </c>
      <c r="D145" s="9" t="s">
        <v>699</v>
      </c>
      <c r="E145" s="9" t="s">
        <v>783</v>
      </c>
      <c r="F145" s="9"/>
      <c r="G145" s="9"/>
      <c r="H145" s="9" t="s">
        <v>470</v>
      </c>
      <c r="I145" s="9" t="s">
        <v>470</v>
      </c>
      <c r="J145" s="9" t="s">
        <v>32</v>
      </c>
      <c r="K145" s="9"/>
      <c r="L145" s="9" t="s">
        <v>535</v>
      </c>
      <c r="M145" s="9"/>
      <c r="N145" s="9" t="s">
        <v>39</v>
      </c>
      <c r="O145" s="10"/>
      <c r="P145" s="10"/>
    </row>
    <row r="146" customFormat="false" ht="32.8" hidden="false" customHeight="false" outlineLevel="0" collapsed="false">
      <c r="A146" s="9" t="s">
        <v>784</v>
      </c>
      <c r="B146" s="9" t="s">
        <v>556</v>
      </c>
      <c r="C146" s="9" t="s">
        <v>698</v>
      </c>
      <c r="D146" s="9" t="s">
        <v>699</v>
      </c>
      <c r="E146" s="9" t="s">
        <v>785</v>
      </c>
      <c r="F146" s="9"/>
      <c r="G146" s="9"/>
      <c r="H146" s="9" t="s">
        <v>786</v>
      </c>
      <c r="I146" s="9" t="s">
        <v>470</v>
      </c>
      <c r="J146" s="9" t="s">
        <v>32</v>
      </c>
      <c r="K146" s="9"/>
      <c r="L146" s="9" t="s">
        <v>787</v>
      </c>
      <c r="M146" s="9"/>
      <c r="N146" s="9" t="s">
        <v>38</v>
      </c>
      <c r="O146" s="10"/>
      <c r="P146" s="10"/>
    </row>
    <row r="147" customFormat="false" ht="32.8" hidden="false" customHeight="false" outlineLevel="0" collapsed="false">
      <c r="A147" s="9" t="s">
        <v>788</v>
      </c>
      <c r="B147" s="9" t="s">
        <v>556</v>
      </c>
      <c r="C147" s="9" t="s">
        <v>698</v>
      </c>
      <c r="D147" s="9" t="s">
        <v>699</v>
      </c>
      <c r="E147" s="9" t="s">
        <v>789</v>
      </c>
      <c r="F147" s="9"/>
      <c r="G147" s="9"/>
      <c r="H147" s="9" t="s">
        <v>470</v>
      </c>
      <c r="I147" s="9" t="s">
        <v>470</v>
      </c>
      <c r="J147" s="9" t="s">
        <v>32</v>
      </c>
      <c r="K147" s="9"/>
      <c r="L147" s="9" t="s">
        <v>790</v>
      </c>
      <c r="M147" s="9"/>
      <c r="N147" s="9" t="s">
        <v>39</v>
      </c>
      <c r="O147" s="10"/>
      <c r="P147" s="10"/>
    </row>
    <row r="148" customFormat="false" ht="22.35" hidden="false" customHeight="false" outlineLevel="0" collapsed="false">
      <c r="A148" s="9" t="s">
        <v>791</v>
      </c>
      <c r="B148" s="9" t="s">
        <v>556</v>
      </c>
      <c r="C148" s="9" t="s">
        <v>698</v>
      </c>
      <c r="D148" s="9" t="s">
        <v>699</v>
      </c>
      <c r="E148" s="9" t="s">
        <v>792</v>
      </c>
      <c r="F148" s="9"/>
      <c r="G148" s="9"/>
      <c r="H148" s="9" t="s">
        <v>470</v>
      </c>
      <c r="I148" s="9" t="s">
        <v>470</v>
      </c>
      <c r="J148" s="9" t="s">
        <v>32</v>
      </c>
      <c r="K148" s="9"/>
      <c r="L148" s="9" t="s">
        <v>720</v>
      </c>
      <c r="M148" s="9"/>
      <c r="N148" s="9" t="s">
        <v>40</v>
      </c>
      <c r="O148" s="10"/>
      <c r="P148" s="10"/>
    </row>
    <row r="149" customFormat="false" ht="32.8" hidden="false" customHeight="false" outlineLevel="0" collapsed="false">
      <c r="A149" s="9" t="s">
        <v>793</v>
      </c>
      <c r="B149" s="9" t="s">
        <v>556</v>
      </c>
      <c r="C149" s="9" t="s">
        <v>698</v>
      </c>
      <c r="D149" s="9" t="s">
        <v>699</v>
      </c>
      <c r="E149" s="9" t="s">
        <v>794</v>
      </c>
      <c r="F149" s="9"/>
      <c r="G149" s="9"/>
      <c r="H149" s="9" t="s">
        <v>795</v>
      </c>
      <c r="I149" s="9" t="s">
        <v>72</v>
      </c>
      <c r="J149" s="9" t="s">
        <v>32</v>
      </c>
      <c r="K149" s="9"/>
      <c r="L149" s="9" t="s">
        <v>795</v>
      </c>
      <c r="M149" s="9"/>
      <c r="N149" s="9" t="s">
        <v>39</v>
      </c>
      <c r="O149" s="10"/>
      <c r="P149" s="10"/>
    </row>
    <row r="150" customFormat="false" ht="22.35" hidden="false" customHeight="false" outlineLevel="0" collapsed="false">
      <c r="A150" s="9" t="s">
        <v>796</v>
      </c>
      <c r="B150" s="9" t="s">
        <v>584</v>
      </c>
      <c r="C150" s="9" t="s">
        <v>698</v>
      </c>
      <c r="D150" s="9" t="s">
        <v>699</v>
      </c>
      <c r="E150" s="9" t="s">
        <v>797</v>
      </c>
      <c r="F150" s="9"/>
      <c r="G150" s="9"/>
      <c r="H150" s="9" t="s">
        <v>798</v>
      </c>
      <c r="I150" s="9" t="s">
        <v>470</v>
      </c>
      <c r="J150" s="9" t="s">
        <v>32</v>
      </c>
      <c r="K150" s="9"/>
      <c r="L150" s="9" t="s">
        <v>799</v>
      </c>
      <c r="M150" s="9"/>
      <c r="N150" s="9" t="s">
        <v>39</v>
      </c>
      <c r="O150" s="10"/>
      <c r="P150" s="10"/>
    </row>
    <row r="151" customFormat="false" ht="22.35" hidden="false" customHeight="false" outlineLevel="0" collapsed="false">
      <c r="A151" s="9" t="s">
        <v>800</v>
      </c>
      <c r="B151" s="9" t="s">
        <v>584</v>
      </c>
      <c r="C151" s="9" t="s">
        <v>698</v>
      </c>
      <c r="D151" s="9" t="s">
        <v>699</v>
      </c>
      <c r="E151" s="9" t="s">
        <v>801</v>
      </c>
      <c r="F151" s="9"/>
      <c r="G151" s="9"/>
      <c r="H151" s="9" t="s">
        <v>802</v>
      </c>
      <c r="I151" s="9" t="s">
        <v>72</v>
      </c>
      <c r="J151" s="9" t="s">
        <v>32</v>
      </c>
      <c r="K151" s="9"/>
      <c r="L151" s="9" t="s">
        <v>802</v>
      </c>
      <c r="M151" s="9"/>
      <c r="N151" s="9" t="s">
        <v>39</v>
      </c>
      <c r="O151" s="10"/>
      <c r="P151" s="10"/>
    </row>
    <row r="152" customFormat="false" ht="22.35" hidden="false" customHeight="false" outlineLevel="0" collapsed="false">
      <c r="A152" s="9" t="s">
        <v>803</v>
      </c>
      <c r="B152" s="9" t="s">
        <v>584</v>
      </c>
      <c r="C152" s="9" t="s">
        <v>698</v>
      </c>
      <c r="D152" s="9" t="s">
        <v>699</v>
      </c>
      <c r="E152" s="9" t="s">
        <v>804</v>
      </c>
      <c r="F152" s="9"/>
      <c r="G152" s="9"/>
      <c r="H152" s="9" t="s">
        <v>602</v>
      </c>
      <c r="I152" s="9" t="s">
        <v>470</v>
      </c>
      <c r="J152" s="9" t="s">
        <v>32</v>
      </c>
      <c r="K152" s="9"/>
      <c r="L152" s="9" t="s">
        <v>422</v>
      </c>
      <c r="M152" s="9"/>
      <c r="N152" s="9" t="s">
        <v>39</v>
      </c>
      <c r="O152" s="10"/>
      <c r="P152" s="10"/>
    </row>
    <row r="153" customFormat="false" ht="22.35" hidden="false" customHeight="false" outlineLevel="0" collapsed="false">
      <c r="A153" s="9" t="s">
        <v>805</v>
      </c>
      <c r="B153" s="9" t="s">
        <v>584</v>
      </c>
      <c r="C153" s="9" t="s">
        <v>698</v>
      </c>
      <c r="D153" s="9" t="s">
        <v>699</v>
      </c>
      <c r="E153" s="9" t="s">
        <v>806</v>
      </c>
      <c r="F153" s="9"/>
      <c r="G153" s="9"/>
      <c r="H153" s="9" t="s">
        <v>470</v>
      </c>
      <c r="I153" s="9" t="s">
        <v>470</v>
      </c>
      <c r="J153" s="9" t="s">
        <v>32</v>
      </c>
      <c r="K153" s="9"/>
      <c r="L153" s="9" t="s">
        <v>617</v>
      </c>
      <c r="M153" s="9"/>
      <c r="N153" s="9" t="s">
        <v>40</v>
      </c>
      <c r="O153" s="10"/>
      <c r="P153" s="10"/>
    </row>
    <row r="154" customFormat="false" ht="22.35" hidden="false" customHeight="false" outlineLevel="0" collapsed="false">
      <c r="A154" s="9" t="s">
        <v>807</v>
      </c>
      <c r="B154" s="9" t="s">
        <v>584</v>
      </c>
      <c r="C154" s="9" t="s">
        <v>698</v>
      </c>
      <c r="D154" s="9" t="s">
        <v>699</v>
      </c>
      <c r="E154" s="9" t="s">
        <v>808</v>
      </c>
      <c r="F154" s="9"/>
      <c r="G154" s="9"/>
      <c r="H154" s="9" t="s">
        <v>470</v>
      </c>
      <c r="I154" s="9" t="s">
        <v>470</v>
      </c>
      <c r="J154" s="9" t="s">
        <v>32</v>
      </c>
      <c r="K154" s="9"/>
      <c r="L154" s="9" t="s">
        <v>617</v>
      </c>
      <c r="M154" s="9"/>
      <c r="N154" s="9" t="s">
        <v>40</v>
      </c>
      <c r="O154" s="10"/>
      <c r="P154" s="10"/>
    </row>
    <row r="155" customFormat="false" ht="32.8" hidden="false" customHeight="false" outlineLevel="0" collapsed="false">
      <c r="A155" s="9" t="s">
        <v>809</v>
      </c>
      <c r="B155" s="9" t="s">
        <v>623</v>
      </c>
      <c r="C155" s="9" t="s">
        <v>698</v>
      </c>
      <c r="D155" s="9" t="s">
        <v>699</v>
      </c>
      <c r="E155" s="9" t="s">
        <v>810</v>
      </c>
      <c r="F155" s="9"/>
      <c r="G155" s="9"/>
      <c r="H155" s="9" t="s">
        <v>811</v>
      </c>
      <c r="I155" s="9" t="s">
        <v>470</v>
      </c>
      <c r="J155" s="9" t="s">
        <v>32</v>
      </c>
      <c r="K155" s="9"/>
      <c r="L155" s="9" t="s">
        <v>812</v>
      </c>
      <c r="M155" s="9"/>
      <c r="N155" s="9" t="s">
        <v>39</v>
      </c>
      <c r="O155" s="10"/>
      <c r="P155" s="10"/>
    </row>
    <row r="156" customFormat="false" ht="32.8" hidden="false" customHeight="false" outlineLevel="0" collapsed="false">
      <c r="A156" s="9" t="s">
        <v>813</v>
      </c>
      <c r="B156" s="9" t="s">
        <v>623</v>
      </c>
      <c r="C156" s="9" t="s">
        <v>698</v>
      </c>
      <c r="D156" s="9" t="s">
        <v>699</v>
      </c>
      <c r="E156" s="9" t="s">
        <v>814</v>
      </c>
      <c r="F156" s="9"/>
      <c r="G156" s="9"/>
      <c r="H156" s="9" t="s">
        <v>815</v>
      </c>
      <c r="I156" s="9" t="s">
        <v>72</v>
      </c>
      <c r="J156" s="9" t="s">
        <v>32</v>
      </c>
      <c r="K156" s="9"/>
      <c r="L156" s="9" t="s">
        <v>815</v>
      </c>
      <c r="M156" s="9"/>
      <c r="N156" s="9" t="s">
        <v>39</v>
      </c>
      <c r="O156" s="10"/>
      <c r="P156" s="10"/>
    </row>
    <row r="157" customFormat="false" ht="32.8" hidden="false" customHeight="false" outlineLevel="0" collapsed="false">
      <c r="A157" s="9" t="s">
        <v>816</v>
      </c>
      <c r="B157" s="9" t="s">
        <v>623</v>
      </c>
      <c r="C157" s="9" t="s">
        <v>698</v>
      </c>
      <c r="D157" s="9" t="s">
        <v>699</v>
      </c>
      <c r="E157" s="9" t="s">
        <v>817</v>
      </c>
      <c r="F157" s="9"/>
      <c r="G157" s="9"/>
      <c r="H157" s="9" t="s">
        <v>818</v>
      </c>
      <c r="I157" s="9" t="s">
        <v>470</v>
      </c>
      <c r="J157" s="9" t="s">
        <v>32</v>
      </c>
      <c r="K157" s="9"/>
      <c r="L157" s="9" t="s">
        <v>819</v>
      </c>
      <c r="M157" s="9"/>
      <c r="N157" s="9" t="s">
        <v>39</v>
      </c>
      <c r="O157" s="10"/>
      <c r="P157" s="10"/>
    </row>
    <row r="158" customFormat="false" ht="32.8" hidden="false" customHeight="false" outlineLevel="0" collapsed="false">
      <c r="A158" s="9" t="s">
        <v>820</v>
      </c>
      <c r="B158" s="9" t="s">
        <v>57</v>
      </c>
      <c r="C158" s="9" t="s">
        <v>821</v>
      </c>
      <c r="D158" s="9" t="s">
        <v>822</v>
      </c>
      <c r="E158" s="9" t="s">
        <v>823</v>
      </c>
      <c r="F158" s="9"/>
      <c r="G158" s="9"/>
      <c r="H158" s="9" t="s">
        <v>84</v>
      </c>
      <c r="I158" s="9" t="s">
        <v>72</v>
      </c>
      <c r="J158" s="9" t="s">
        <v>33</v>
      </c>
      <c r="K158" s="9" t="s">
        <v>824</v>
      </c>
      <c r="L158" s="9" t="s">
        <v>825</v>
      </c>
      <c r="M158" s="9" t="s">
        <v>826</v>
      </c>
      <c r="N158" s="9" t="s">
        <v>38</v>
      </c>
      <c r="O158" s="10"/>
      <c r="P158" s="10"/>
    </row>
    <row r="159" customFormat="false" ht="32.8" hidden="false" customHeight="false" outlineLevel="0" collapsed="false">
      <c r="A159" s="9" t="s">
        <v>827</v>
      </c>
      <c r="B159" s="9" t="s">
        <v>57</v>
      </c>
      <c r="C159" s="9" t="s">
        <v>821</v>
      </c>
      <c r="D159" s="9" t="s">
        <v>822</v>
      </c>
      <c r="E159" s="9" t="s">
        <v>828</v>
      </c>
      <c r="F159" s="9"/>
      <c r="G159" s="9"/>
      <c r="H159" s="9" t="s">
        <v>829</v>
      </c>
      <c r="I159" s="9" t="s">
        <v>72</v>
      </c>
      <c r="J159" s="9" t="s">
        <v>32</v>
      </c>
      <c r="K159" s="9"/>
      <c r="L159" s="9" t="s">
        <v>830</v>
      </c>
      <c r="M159" s="9"/>
      <c r="N159" s="9" t="s">
        <v>39</v>
      </c>
      <c r="O159" s="10"/>
      <c r="P159" s="10"/>
    </row>
    <row r="160" customFormat="false" ht="32.8" hidden="false" customHeight="false" outlineLevel="0" collapsed="false">
      <c r="A160" s="9" t="s">
        <v>831</v>
      </c>
      <c r="B160" s="9" t="s">
        <v>57</v>
      </c>
      <c r="C160" s="9" t="s">
        <v>821</v>
      </c>
      <c r="D160" s="9" t="s">
        <v>822</v>
      </c>
      <c r="E160" s="9" t="s">
        <v>832</v>
      </c>
      <c r="F160" s="9"/>
      <c r="G160" s="9"/>
      <c r="H160" s="9" t="s">
        <v>71</v>
      </c>
      <c r="I160" s="9" t="s">
        <v>72</v>
      </c>
      <c r="J160" s="9" t="s">
        <v>32</v>
      </c>
      <c r="K160" s="9"/>
      <c r="L160" s="9" t="s">
        <v>833</v>
      </c>
      <c r="M160" s="9"/>
      <c r="N160" s="9" t="s">
        <v>39</v>
      </c>
      <c r="O160" s="10"/>
      <c r="P160" s="10"/>
    </row>
    <row r="161" customFormat="false" ht="32.8" hidden="false" customHeight="false" outlineLevel="0" collapsed="false">
      <c r="A161" s="9" t="s">
        <v>834</v>
      </c>
      <c r="B161" s="9" t="s">
        <v>57</v>
      </c>
      <c r="C161" s="9" t="s">
        <v>821</v>
      </c>
      <c r="D161" s="9" t="s">
        <v>822</v>
      </c>
      <c r="E161" s="9" t="s">
        <v>835</v>
      </c>
      <c r="F161" s="9"/>
      <c r="G161" s="9"/>
      <c r="H161" s="9" t="s">
        <v>836</v>
      </c>
      <c r="I161" s="9" t="s">
        <v>72</v>
      </c>
      <c r="J161" s="9" t="s">
        <v>33</v>
      </c>
      <c r="K161" s="9" t="s">
        <v>837</v>
      </c>
      <c r="L161" s="9" t="s">
        <v>838</v>
      </c>
      <c r="M161" s="9" t="s">
        <v>839</v>
      </c>
      <c r="N161" s="9" t="s">
        <v>39</v>
      </c>
      <c r="O161" s="10"/>
      <c r="P161" s="10"/>
    </row>
    <row r="162" customFormat="false" ht="32.8" hidden="false" customHeight="false" outlineLevel="0" collapsed="false">
      <c r="A162" s="9" t="s">
        <v>840</v>
      </c>
      <c r="B162" s="9" t="s">
        <v>57</v>
      </c>
      <c r="C162" s="9" t="s">
        <v>821</v>
      </c>
      <c r="D162" s="9" t="s">
        <v>822</v>
      </c>
      <c r="E162" s="9" t="s">
        <v>841</v>
      </c>
      <c r="F162" s="9"/>
      <c r="G162" s="9"/>
      <c r="H162" s="9" t="s">
        <v>163</v>
      </c>
      <c r="I162" s="9" t="s">
        <v>72</v>
      </c>
      <c r="J162" s="9" t="s">
        <v>32</v>
      </c>
      <c r="K162" s="9"/>
      <c r="L162" s="9" t="s">
        <v>842</v>
      </c>
      <c r="M162" s="9"/>
      <c r="N162" s="9" t="s">
        <v>39</v>
      </c>
      <c r="O162" s="10"/>
      <c r="P162" s="10"/>
    </row>
    <row r="163" customFormat="false" ht="32.8" hidden="false" customHeight="false" outlineLevel="0" collapsed="false">
      <c r="A163" s="9" t="s">
        <v>843</v>
      </c>
      <c r="B163" s="9" t="s">
        <v>57</v>
      </c>
      <c r="C163" s="9" t="s">
        <v>821</v>
      </c>
      <c r="D163" s="9" t="s">
        <v>822</v>
      </c>
      <c r="E163" s="9" t="s">
        <v>844</v>
      </c>
      <c r="F163" s="9"/>
      <c r="G163" s="9"/>
      <c r="H163" s="9" t="s">
        <v>71</v>
      </c>
      <c r="I163" s="9" t="s">
        <v>72</v>
      </c>
      <c r="J163" s="9" t="s">
        <v>32</v>
      </c>
      <c r="K163" s="9"/>
      <c r="L163" s="9" t="s">
        <v>71</v>
      </c>
      <c r="M163" s="9"/>
      <c r="N163" s="9" t="s">
        <v>39</v>
      </c>
      <c r="O163" s="10"/>
      <c r="P163" s="10"/>
    </row>
    <row r="164" customFormat="false" ht="32.8" hidden="false" customHeight="false" outlineLevel="0" collapsed="false">
      <c r="A164" s="9" t="s">
        <v>845</v>
      </c>
      <c r="B164" s="9" t="s">
        <v>57</v>
      </c>
      <c r="C164" s="9" t="s">
        <v>821</v>
      </c>
      <c r="D164" s="9" t="s">
        <v>822</v>
      </c>
      <c r="E164" s="9" t="s">
        <v>846</v>
      </c>
      <c r="F164" s="9"/>
      <c r="G164" s="9"/>
      <c r="H164" s="9" t="s">
        <v>71</v>
      </c>
      <c r="I164" s="9" t="s">
        <v>72</v>
      </c>
      <c r="J164" s="9" t="s">
        <v>32</v>
      </c>
      <c r="K164" s="9"/>
      <c r="L164" s="9" t="s">
        <v>847</v>
      </c>
      <c r="M164" s="9"/>
      <c r="N164" s="9" t="s">
        <v>39</v>
      </c>
      <c r="O164" s="10"/>
      <c r="P164" s="10"/>
    </row>
    <row r="165" customFormat="false" ht="32.8" hidden="false" customHeight="false" outlineLevel="0" collapsed="false">
      <c r="A165" s="9" t="s">
        <v>848</v>
      </c>
      <c r="B165" s="9" t="s">
        <v>57</v>
      </c>
      <c r="C165" s="9" t="s">
        <v>821</v>
      </c>
      <c r="D165" s="9" t="s">
        <v>822</v>
      </c>
      <c r="E165" s="9" t="s">
        <v>849</v>
      </c>
      <c r="F165" s="9"/>
      <c r="G165" s="9"/>
      <c r="H165" s="9" t="s">
        <v>84</v>
      </c>
      <c r="I165" s="9" t="s">
        <v>72</v>
      </c>
      <c r="J165" s="9" t="s">
        <v>33</v>
      </c>
      <c r="K165" s="9" t="s">
        <v>850</v>
      </c>
      <c r="L165" s="9" t="s">
        <v>851</v>
      </c>
      <c r="M165" s="9" t="s">
        <v>852</v>
      </c>
      <c r="N165" s="9" t="s">
        <v>38</v>
      </c>
      <c r="O165" s="10"/>
      <c r="P165" s="10"/>
    </row>
    <row r="166" customFormat="false" ht="32.8" hidden="false" customHeight="false" outlineLevel="0" collapsed="false">
      <c r="A166" s="9" t="s">
        <v>853</v>
      </c>
      <c r="B166" s="9" t="s">
        <v>57</v>
      </c>
      <c r="C166" s="9" t="s">
        <v>821</v>
      </c>
      <c r="D166" s="9" t="s">
        <v>822</v>
      </c>
      <c r="E166" s="9" t="s">
        <v>854</v>
      </c>
      <c r="F166" s="9"/>
      <c r="G166" s="9"/>
      <c r="H166" s="9" t="s">
        <v>84</v>
      </c>
      <c r="I166" s="9" t="s">
        <v>72</v>
      </c>
      <c r="J166" s="9" t="s">
        <v>32</v>
      </c>
      <c r="K166" s="9"/>
      <c r="L166" s="9" t="s">
        <v>855</v>
      </c>
      <c r="M166" s="9"/>
      <c r="N166" s="9" t="s">
        <v>39</v>
      </c>
      <c r="O166" s="10"/>
      <c r="P166" s="10"/>
    </row>
    <row r="167" customFormat="false" ht="43.25" hidden="false" customHeight="false" outlineLevel="0" collapsed="false">
      <c r="A167" s="9" t="s">
        <v>856</v>
      </c>
      <c r="B167" s="9" t="s">
        <v>57</v>
      </c>
      <c r="C167" s="9" t="s">
        <v>821</v>
      </c>
      <c r="D167" s="9" t="s">
        <v>822</v>
      </c>
      <c r="E167" s="9" t="s">
        <v>857</v>
      </c>
      <c r="F167" s="9"/>
      <c r="G167" s="9"/>
      <c r="H167" s="9" t="s">
        <v>71</v>
      </c>
      <c r="I167" s="9" t="s">
        <v>72</v>
      </c>
      <c r="J167" s="9" t="s">
        <v>32</v>
      </c>
      <c r="K167" s="9"/>
      <c r="L167" s="9" t="s">
        <v>858</v>
      </c>
      <c r="M167" s="9"/>
      <c r="N167" s="9" t="s">
        <v>39</v>
      </c>
      <c r="O167" s="10"/>
      <c r="P167" s="10"/>
    </row>
    <row r="168" customFormat="false" ht="32.8" hidden="false" customHeight="false" outlineLevel="0" collapsed="false">
      <c r="A168" s="9" t="s">
        <v>859</v>
      </c>
      <c r="B168" s="9" t="s">
        <v>57</v>
      </c>
      <c r="C168" s="9" t="s">
        <v>821</v>
      </c>
      <c r="D168" s="9" t="s">
        <v>822</v>
      </c>
      <c r="E168" s="9" t="s">
        <v>860</v>
      </c>
      <c r="F168" s="9"/>
      <c r="G168" s="9"/>
      <c r="H168" s="9" t="s">
        <v>71</v>
      </c>
      <c r="I168" s="9" t="s">
        <v>72</v>
      </c>
      <c r="J168" s="9" t="s">
        <v>32</v>
      </c>
      <c r="K168" s="9" t="s">
        <v>144</v>
      </c>
      <c r="L168" s="9" t="s">
        <v>861</v>
      </c>
      <c r="M168" s="9"/>
      <c r="N168" s="9" t="s">
        <v>39</v>
      </c>
      <c r="O168" s="10"/>
      <c r="P168" s="10"/>
    </row>
    <row r="169" customFormat="false" ht="32.8" hidden="false" customHeight="false" outlineLevel="0" collapsed="false">
      <c r="A169" s="9" t="s">
        <v>862</v>
      </c>
      <c r="B169" s="9" t="s">
        <v>57</v>
      </c>
      <c r="C169" s="9" t="s">
        <v>821</v>
      </c>
      <c r="D169" s="9" t="s">
        <v>822</v>
      </c>
      <c r="E169" s="9" t="s">
        <v>863</v>
      </c>
      <c r="F169" s="9"/>
      <c r="G169" s="9"/>
      <c r="H169" s="9" t="s">
        <v>71</v>
      </c>
      <c r="I169" s="9" t="s">
        <v>72</v>
      </c>
      <c r="J169" s="9" t="s">
        <v>32</v>
      </c>
      <c r="K169" s="9"/>
      <c r="L169" s="9" t="s">
        <v>861</v>
      </c>
      <c r="M169" s="9"/>
      <c r="N169" s="9" t="s">
        <v>39</v>
      </c>
      <c r="O169" s="10"/>
      <c r="P169" s="10"/>
    </row>
    <row r="170" customFormat="false" ht="32.8" hidden="false" customHeight="false" outlineLevel="0" collapsed="false">
      <c r="A170" s="9" t="s">
        <v>864</v>
      </c>
      <c r="B170" s="9" t="s">
        <v>57</v>
      </c>
      <c r="C170" s="9" t="s">
        <v>821</v>
      </c>
      <c r="D170" s="9" t="s">
        <v>822</v>
      </c>
      <c r="E170" s="9" t="s">
        <v>865</v>
      </c>
      <c r="F170" s="9"/>
      <c r="G170" s="9"/>
      <c r="H170" s="9" t="s">
        <v>84</v>
      </c>
      <c r="I170" s="9" t="s">
        <v>72</v>
      </c>
      <c r="J170" s="9" t="s">
        <v>32</v>
      </c>
      <c r="K170" s="9"/>
      <c r="L170" s="9" t="s">
        <v>84</v>
      </c>
      <c r="M170" s="9"/>
      <c r="N170" s="9" t="s">
        <v>39</v>
      </c>
      <c r="O170" s="10"/>
      <c r="P170" s="10"/>
    </row>
    <row r="171" customFormat="false" ht="32.8" hidden="false" customHeight="false" outlineLevel="0" collapsed="false">
      <c r="A171" s="9" t="s">
        <v>866</v>
      </c>
      <c r="B171" s="9" t="s">
        <v>57</v>
      </c>
      <c r="C171" s="9" t="s">
        <v>821</v>
      </c>
      <c r="D171" s="9" t="s">
        <v>822</v>
      </c>
      <c r="E171" s="9" t="s">
        <v>867</v>
      </c>
      <c r="F171" s="9"/>
      <c r="G171" s="9"/>
      <c r="H171" s="9" t="s">
        <v>868</v>
      </c>
      <c r="I171" s="9" t="s">
        <v>72</v>
      </c>
      <c r="J171" s="9" t="s">
        <v>32</v>
      </c>
      <c r="K171" s="9"/>
      <c r="L171" s="9" t="s">
        <v>868</v>
      </c>
      <c r="M171" s="9" t="s">
        <v>869</v>
      </c>
      <c r="N171" s="9" t="s">
        <v>38</v>
      </c>
      <c r="O171" s="10"/>
      <c r="P171" s="10"/>
    </row>
    <row r="172" customFormat="false" ht="43.25" hidden="false" customHeight="false" outlineLevel="0" collapsed="false">
      <c r="A172" s="9" t="s">
        <v>870</v>
      </c>
      <c r="B172" s="9" t="s">
        <v>57</v>
      </c>
      <c r="C172" s="9" t="s">
        <v>821</v>
      </c>
      <c r="D172" s="9" t="s">
        <v>822</v>
      </c>
      <c r="E172" s="9" t="s">
        <v>871</v>
      </c>
      <c r="F172" s="9"/>
      <c r="G172" s="9"/>
      <c r="H172" s="9" t="s">
        <v>872</v>
      </c>
      <c r="I172" s="9" t="s">
        <v>72</v>
      </c>
      <c r="J172" s="9" t="s">
        <v>32</v>
      </c>
      <c r="K172" s="9"/>
      <c r="L172" s="9" t="s">
        <v>726</v>
      </c>
      <c r="M172" s="9"/>
      <c r="N172" s="9" t="s">
        <v>39</v>
      </c>
      <c r="O172" s="10"/>
      <c r="P172" s="10"/>
    </row>
    <row r="173" customFormat="false" ht="22.35" hidden="false" customHeight="false" outlineLevel="0" collapsed="false">
      <c r="A173" s="9" t="s">
        <v>873</v>
      </c>
      <c r="B173" s="9" t="s">
        <v>57</v>
      </c>
      <c r="C173" s="9" t="s">
        <v>821</v>
      </c>
      <c r="D173" s="9" t="s">
        <v>874</v>
      </c>
      <c r="E173" s="9" t="s">
        <v>875</v>
      </c>
      <c r="F173" s="9"/>
      <c r="G173" s="9"/>
      <c r="H173" s="9" t="s">
        <v>84</v>
      </c>
      <c r="I173" s="9" t="s">
        <v>72</v>
      </c>
      <c r="J173" s="9" t="s">
        <v>32</v>
      </c>
      <c r="K173" s="9"/>
      <c r="L173" s="9" t="s">
        <v>84</v>
      </c>
      <c r="M173" s="9"/>
      <c r="N173" s="9" t="s">
        <v>39</v>
      </c>
      <c r="O173" s="10"/>
      <c r="P173" s="10"/>
    </row>
    <row r="174" customFormat="false" ht="22.35" hidden="false" customHeight="false" outlineLevel="0" collapsed="false">
      <c r="A174" s="9" t="s">
        <v>876</v>
      </c>
      <c r="B174" s="9" t="s">
        <v>57</v>
      </c>
      <c r="C174" s="9" t="s">
        <v>821</v>
      </c>
      <c r="D174" s="9" t="s">
        <v>874</v>
      </c>
      <c r="E174" s="9" t="s">
        <v>877</v>
      </c>
      <c r="F174" s="9"/>
      <c r="G174" s="9"/>
      <c r="H174" s="9" t="s">
        <v>71</v>
      </c>
      <c r="I174" s="9" t="s">
        <v>72</v>
      </c>
      <c r="J174" s="9" t="s">
        <v>32</v>
      </c>
      <c r="K174" s="9"/>
      <c r="L174" s="9" t="s">
        <v>71</v>
      </c>
      <c r="M174" s="9"/>
      <c r="N174" s="9" t="s">
        <v>39</v>
      </c>
      <c r="O174" s="10"/>
      <c r="P174" s="10"/>
    </row>
    <row r="175" customFormat="false" ht="22.35" hidden="false" customHeight="false" outlineLevel="0" collapsed="false">
      <c r="A175" s="9" t="s">
        <v>878</v>
      </c>
      <c r="B175" s="9" t="s">
        <v>57</v>
      </c>
      <c r="C175" s="9" t="s">
        <v>821</v>
      </c>
      <c r="D175" s="9" t="s">
        <v>879</v>
      </c>
      <c r="E175" s="9" t="s">
        <v>880</v>
      </c>
      <c r="F175" s="9"/>
      <c r="G175" s="9"/>
      <c r="H175" s="9" t="s">
        <v>84</v>
      </c>
      <c r="I175" s="9" t="s">
        <v>72</v>
      </c>
      <c r="J175" s="9" t="s">
        <v>33</v>
      </c>
      <c r="K175" s="9" t="s">
        <v>881</v>
      </c>
      <c r="L175" s="9" t="s">
        <v>882</v>
      </c>
      <c r="M175" s="9" t="s">
        <v>883</v>
      </c>
      <c r="N175" s="9" t="s">
        <v>39</v>
      </c>
      <c r="O175" s="10"/>
      <c r="P175" s="10"/>
    </row>
    <row r="176" customFormat="false" ht="22.35" hidden="false" customHeight="false" outlineLevel="0" collapsed="false">
      <c r="A176" s="9" t="s">
        <v>884</v>
      </c>
      <c r="B176" s="9" t="s">
        <v>57</v>
      </c>
      <c r="C176" s="9" t="s">
        <v>821</v>
      </c>
      <c r="D176" s="9" t="s">
        <v>879</v>
      </c>
      <c r="E176" s="9" t="s">
        <v>885</v>
      </c>
      <c r="F176" s="9"/>
      <c r="G176" s="9"/>
      <c r="H176" s="9" t="s">
        <v>84</v>
      </c>
      <c r="I176" s="9" t="s">
        <v>72</v>
      </c>
      <c r="J176" s="9" t="s">
        <v>32</v>
      </c>
      <c r="K176" s="9"/>
      <c r="L176" s="9" t="s">
        <v>886</v>
      </c>
      <c r="M176" s="9"/>
      <c r="N176" s="9" t="s">
        <v>39</v>
      </c>
      <c r="O176" s="10"/>
      <c r="P176" s="10"/>
    </row>
    <row r="177" customFormat="false" ht="22.35" hidden="false" customHeight="false" outlineLevel="0" collapsed="false">
      <c r="A177" s="9" t="s">
        <v>887</v>
      </c>
      <c r="B177" s="9" t="s">
        <v>57</v>
      </c>
      <c r="C177" s="9" t="s">
        <v>821</v>
      </c>
      <c r="D177" s="9" t="s">
        <v>879</v>
      </c>
      <c r="E177" s="9" t="s">
        <v>888</v>
      </c>
      <c r="F177" s="9"/>
      <c r="G177" s="9"/>
      <c r="H177" s="9" t="s">
        <v>84</v>
      </c>
      <c r="I177" s="9" t="s">
        <v>72</v>
      </c>
      <c r="J177" s="9" t="s">
        <v>33</v>
      </c>
      <c r="K177" s="9" t="s">
        <v>889</v>
      </c>
      <c r="L177" s="9" t="s">
        <v>886</v>
      </c>
      <c r="M177" s="9" t="s">
        <v>890</v>
      </c>
      <c r="N177" s="9" t="s">
        <v>39</v>
      </c>
      <c r="O177" s="10"/>
      <c r="P177" s="10"/>
    </row>
    <row r="178" customFormat="false" ht="22.35" hidden="false" customHeight="false" outlineLevel="0" collapsed="false">
      <c r="A178" s="9" t="s">
        <v>891</v>
      </c>
      <c r="B178" s="9" t="s">
        <v>57</v>
      </c>
      <c r="C178" s="9" t="s">
        <v>821</v>
      </c>
      <c r="D178" s="9" t="s">
        <v>879</v>
      </c>
      <c r="E178" s="9" t="s">
        <v>892</v>
      </c>
      <c r="F178" s="9"/>
      <c r="G178" s="9"/>
      <c r="H178" s="9" t="s">
        <v>84</v>
      </c>
      <c r="I178" s="9" t="s">
        <v>72</v>
      </c>
      <c r="J178" s="9" t="s">
        <v>33</v>
      </c>
      <c r="K178" s="9" t="s">
        <v>893</v>
      </c>
      <c r="L178" s="9" t="s">
        <v>894</v>
      </c>
      <c r="M178" s="9" t="s">
        <v>895</v>
      </c>
      <c r="N178" s="9" t="s">
        <v>39</v>
      </c>
      <c r="O178" s="10"/>
      <c r="P178" s="10"/>
    </row>
    <row r="179" customFormat="false" ht="32.8" hidden="false" customHeight="false" outlineLevel="0" collapsed="false">
      <c r="A179" s="9" t="s">
        <v>896</v>
      </c>
      <c r="B179" s="9" t="s">
        <v>57</v>
      </c>
      <c r="C179" s="9" t="s">
        <v>821</v>
      </c>
      <c r="D179" s="9" t="s">
        <v>879</v>
      </c>
      <c r="E179" s="9" t="s">
        <v>897</v>
      </c>
      <c r="F179" s="9"/>
      <c r="G179" s="9"/>
      <c r="H179" s="9" t="s">
        <v>84</v>
      </c>
      <c r="I179" s="9" t="s">
        <v>72</v>
      </c>
      <c r="J179" s="9" t="s">
        <v>32</v>
      </c>
      <c r="K179" s="9"/>
      <c r="L179" s="9" t="s">
        <v>898</v>
      </c>
      <c r="M179" s="9"/>
      <c r="N179" s="9" t="s">
        <v>39</v>
      </c>
      <c r="O179" s="10"/>
      <c r="P179" s="10"/>
    </row>
    <row r="180" customFormat="false" ht="22.35" hidden="false" customHeight="false" outlineLevel="0" collapsed="false">
      <c r="A180" s="9" t="s">
        <v>899</v>
      </c>
      <c r="B180" s="9" t="s">
        <v>57</v>
      </c>
      <c r="C180" s="9" t="s">
        <v>821</v>
      </c>
      <c r="D180" s="9" t="s">
        <v>900</v>
      </c>
      <c r="E180" s="9" t="s">
        <v>901</v>
      </c>
      <c r="F180" s="9"/>
      <c r="G180" s="9"/>
      <c r="H180" s="9" t="s">
        <v>71</v>
      </c>
      <c r="I180" s="9" t="s">
        <v>72</v>
      </c>
      <c r="J180" s="9" t="s">
        <v>32</v>
      </c>
      <c r="K180" s="9"/>
      <c r="L180" s="9" t="s">
        <v>902</v>
      </c>
      <c r="M180" s="9"/>
      <c r="N180" s="9" t="s">
        <v>39</v>
      </c>
      <c r="O180" s="10"/>
      <c r="P180" s="10"/>
    </row>
    <row r="181" customFormat="false" ht="43.25" hidden="false" customHeight="false" outlineLevel="0" collapsed="false">
      <c r="A181" s="9" t="s">
        <v>903</v>
      </c>
      <c r="B181" s="9" t="s">
        <v>57</v>
      </c>
      <c r="C181" s="9" t="s">
        <v>821</v>
      </c>
      <c r="D181" s="9" t="s">
        <v>900</v>
      </c>
      <c r="E181" s="9" t="s">
        <v>904</v>
      </c>
      <c r="F181" s="9"/>
      <c r="G181" s="9"/>
      <c r="H181" s="9" t="s">
        <v>84</v>
      </c>
      <c r="I181" s="9" t="s">
        <v>72</v>
      </c>
      <c r="J181" s="9" t="s">
        <v>32</v>
      </c>
      <c r="K181" s="9"/>
      <c r="L181" s="9" t="s">
        <v>84</v>
      </c>
      <c r="M181" s="9"/>
      <c r="N181" s="9" t="s">
        <v>39</v>
      </c>
      <c r="O181" s="10"/>
      <c r="P181" s="10"/>
    </row>
    <row r="182" customFormat="false" ht="22.35" hidden="false" customHeight="false" outlineLevel="0" collapsed="false">
      <c r="A182" s="9" t="s">
        <v>905</v>
      </c>
      <c r="B182" s="9" t="s">
        <v>57</v>
      </c>
      <c r="C182" s="9" t="s">
        <v>821</v>
      </c>
      <c r="D182" s="9" t="s">
        <v>900</v>
      </c>
      <c r="E182" s="9" t="s">
        <v>906</v>
      </c>
      <c r="F182" s="9"/>
      <c r="G182" s="9"/>
      <c r="H182" s="9" t="s">
        <v>377</v>
      </c>
      <c r="I182" s="9" t="s">
        <v>72</v>
      </c>
      <c r="J182" s="9" t="s">
        <v>32</v>
      </c>
      <c r="K182" s="9"/>
      <c r="L182" s="9" t="s">
        <v>902</v>
      </c>
      <c r="M182" s="9"/>
      <c r="N182" s="9" t="s">
        <v>39</v>
      </c>
      <c r="O182" s="10"/>
      <c r="P182" s="10"/>
    </row>
    <row r="183" customFormat="false" ht="32.8" hidden="false" customHeight="false" outlineLevel="0" collapsed="false">
      <c r="A183" s="9" t="s">
        <v>907</v>
      </c>
      <c r="B183" s="9" t="s">
        <v>57</v>
      </c>
      <c r="C183" s="9" t="s">
        <v>908</v>
      </c>
      <c r="D183" s="9" t="s">
        <v>909</v>
      </c>
      <c r="E183" s="9" t="s">
        <v>910</v>
      </c>
      <c r="F183" s="9"/>
      <c r="G183" s="9"/>
      <c r="H183" s="9"/>
      <c r="I183" s="9" t="s">
        <v>61</v>
      </c>
      <c r="J183" s="9" t="s">
        <v>32</v>
      </c>
      <c r="K183" s="9"/>
      <c r="L183" s="9" t="s">
        <v>911</v>
      </c>
      <c r="M183" s="9"/>
      <c r="N183" s="9" t="s">
        <v>39</v>
      </c>
      <c r="O183" s="10"/>
      <c r="P183" s="10"/>
    </row>
    <row r="184" customFormat="false" ht="32.8" hidden="false" customHeight="false" outlineLevel="0" collapsed="false">
      <c r="A184" s="9" t="s">
        <v>912</v>
      </c>
      <c r="B184" s="9" t="s">
        <v>57</v>
      </c>
      <c r="C184" s="9" t="s">
        <v>908</v>
      </c>
      <c r="D184" s="9" t="s">
        <v>909</v>
      </c>
      <c r="E184" s="9" t="s">
        <v>913</v>
      </c>
      <c r="F184" s="9"/>
      <c r="G184" s="9"/>
      <c r="H184" s="9"/>
      <c r="I184" s="9" t="s">
        <v>61</v>
      </c>
      <c r="J184" s="9" t="s">
        <v>32</v>
      </c>
      <c r="K184" s="9"/>
      <c r="L184" s="9" t="s">
        <v>914</v>
      </c>
      <c r="M184" s="9"/>
      <c r="N184" s="9" t="s">
        <v>39</v>
      </c>
      <c r="O184" s="10"/>
      <c r="P184" s="10"/>
    </row>
    <row r="185" customFormat="false" ht="32.8" hidden="false" customHeight="false" outlineLevel="0" collapsed="false">
      <c r="A185" s="9" t="s">
        <v>915</v>
      </c>
      <c r="B185" s="9" t="s">
        <v>57</v>
      </c>
      <c r="C185" s="9" t="s">
        <v>908</v>
      </c>
      <c r="D185" s="9" t="s">
        <v>909</v>
      </c>
      <c r="E185" s="9" t="s">
        <v>916</v>
      </c>
      <c r="F185" s="9"/>
      <c r="G185" s="9"/>
      <c r="H185" s="9"/>
      <c r="I185" s="9" t="s">
        <v>61</v>
      </c>
      <c r="J185" s="9" t="s">
        <v>32</v>
      </c>
      <c r="K185" s="9"/>
      <c r="L185" s="9" t="s">
        <v>914</v>
      </c>
      <c r="M185" s="9"/>
      <c r="N185" s="9" t="s">
        <v>39</v>
      </c>
      <c r="O185" s="10"/>
      <c r="P185" s="10"/>
    </row>
    <row r="186" customFormat="false" ht="32.8" hidden="false" customHeight="false" outlineLevel="0" collapsed="false">
      <c r="A186" s="9" t="s">
        <v>917</v>
      </c>
      <c r="B186" s="9" t="s">
        <v>57</v>
      </c>
      <c r="C186" s="9" t="s">
        <v>908</v>
      </c>
      <c r="D186" s="9" t="s">
        <v>909</v>
      </c>
      <c r="E186" s="9" t="s">
        <v>918</v>
      </c>
      <c r="F186" s="9"/>
      <c r="G186" s="9"/>
      <c r="H186" s="9"/>
      <c r="I186" s="9" t="s">
        <v>61</v>
      </c>
      <c r="J186" s="9" t="s">
        <v>32</v>
      </c>
      <c r="K186" s="9"/>
      <c r="L186" s="9" t="s">
        <v>914</v>
      </c>
      <c r="M186" s="9"/>
      <c r="N186" s="9" t="s">
        <v>39</v>
      </c>
      <c r="O186" s="10"/>
      <c r="P186" s="10"/>
    </row>
    <row r="187" customFormat="false" ht="32.8" hidden="false" customHeight="false" outlineLevel="0" collapsed="false">
      <c r="A187" s="9" t="s">
        <v>919</v>
      </c>
      <c r="B187" s="9" t="s">
        <v>57</v>
      </c>
      <c r="C187" s="9" t="s">
        <v>908</v>
      </c>
      <c r="D187" s="9" t="s">
        <v>909</v>
      </c>
      <c r="E187" s="9" t="s">
        <v>920</v>
      </c>
      <c r="F187" s="9"/>
      <c r="G187" s="9"/>
      <c r="H187" s="9"/>
      <c r="I187" s="9" t="s">
        <v>61</v>
      </c>
      <c r="J187" s="9" t="s">
        <v>32</v>
      </c>
      <c r="K187" s="9"/>
      <c r="L187" s="9" t="s">
        <v>914</v>
      </c>
      <c r="M187" s="9"/>
      <c r="N187" s="9" t="s">
        <v>39</v>
      </c>
      <c r="O187" s="10"/>
      <c r="P187" s="10"/>
    </row>
    <row r="188" customFormat="false" ht="32.8" hidden="false" customHeight="false" outlineLevel="0" collapsed="false">
      <c r="A188" s="9" t="s">
        <v>921</v>
      </c>
      <c r="B188" s="9" t="s">
        <v>57</v>
      </c>
      <c r="C188" s="9" t="s">
        <v>908</v>
      </c>
      <c r="D188" s="9" t="s">
        <v>922</v>
      </c>
      <c r="E188" s="9" t="s">
        <v>923</v>
      </c>
      <c r="F188" s="9"/>
      <c r="G188" s="9"/>
      <c r="H188" s="9"/>
      <c r="I188" s="9" t="s">
        <v>668</v>
      </c>
      <c r="J188" s="9" t="s">
        <v>33</v>
      </c>
      <c r="K188" s="9" t="s">
        <v>924</v>
      </c>
      <c r="L188" s="9" t="s">
        <v>925</v>
      </c>
      <c r="M188" s="9" t="s">
        <v>926</v>
      </c>
      <c r="N188" s="9" t="s">
        <v>39</v>
      </c>
      <c r="O188" s="10"/>
      <c r="P188" s="10"/>
    </row>
    <row r="189" customFormat="false" ht="74.6" hidden="false" customHeight="false" outlineLevel="0" collapsed="false">
      <c r="A189" s="9" t="s">
        <v>927</v>
      </c>
      <c r="B189" s="9" t="s">
        <v>57</v>
      </c>
      <c r="C189" s="9" t="s">
        <v>908</v>
      </c>
      <c r="D189" s="9" t="s">
        <v>928</v>
      </c>
      <c r="E189" s="9" t="s">
        <v>929</v>
      </c>
      <c r="F189" s="9"/>
      <c r="G189" s="9" t="s">
        <v>930</v>
      </c>
      <c r="H189" s="9" t="s">
        <v>931</v>
      </c>
      <c r="I189" s="9" t="s">
        <v>72</v>
      </c>
      <c r="J189" s="9" t="s">
        <v>32</v>
      </c>
      <c r="K189" s="9"/>
      <c r="L189" s="9" t="s">
        <v>932</v>
      </c>
      <c r="M189" s="9"/>
      <c r="N189" s="9" t="s">
        <v>39</v>
      </c>
      <c r="O189" s="10"/>
      <c r="P189" s="10"/>
    </row>
    <row r="190" customFormat="false" ht="32.8" hidden="false" customHeight="false" outlineLevel="0" collapsed="false">
      <c r="A190" s="9" t="s">
        <v>933</v>
      </c>
      <c r="B190" s="9" t="s">
        <v>57</v>
      </c>
      <c r="C190" s="9" t="s">
        <v>908</v>
      </c>
      <c r="D190" s="9" t="s">
        <v>928</v>
      </c>
      <c r="E190" s="9" t="s">
        <v>934</v>
      </c>
      <c r="F190" s="9"/>
      <c r="G190" s="9" t="s">
        <v>935</v>
      </c>
      <c r="H190" s="9" t="s">
        <v>931</v>
      </c>
      <c r="I190" s="9" t="s">
        <v>72</v>
      </c>
      <c r="J190" s="9" t="s">
        <v>32</v>
      </c>
      <c r="K190" s="9"/>
      <c r="L190" s="9" t="s">
        <v>932</v>
      </c>
      <c r="M190" s="9"/>
      <c r="N190" s="9" t="s">
        <v>39</v>
      </c>
      <c r="O190" s="10"/>
      <c r="P190" s="10"/>
    </row>
    <row r="191" customFormat="false" ht="32.8" hidden="false" customHeight="false" outlineLevel="0" collapsed="false">
      <c r="A191" s="9" t="s">
        <v>936</v>
      </c>
      <c r="B191" s="9" t="s">
        <v>57</v>
      </c>
      <c r="C191" s="9" t="s">
        <v>908</v>
      </c>
      <c r="D191" s="9" t="s">
        <v>928</v>
      </c>
      <c r="E191" s="9" t="s">
        <v>937</v>
      </c>
      <c r="F191" s="9"/>
      <c r="G191" s="9" t="s">
        <v>938</v>
      </c>
      <c r="H191" s="9" t="s">
        <v>931</v>
      </c>
      <c r="I191" s="9" t="s">
        <v>72</v>
      </c>
      <c r="J191" s="9" t="s">
        <v>32</v>
      </c>
      <c r="K191" s="9"/>
      <c r="L191" s="9" t="s">
        <v>932</v>
      </c>
      <c r="M191" s="9"/>
      <c r="N191" s="9" t="s">
        <v>39</v>
      </c>
      <c r="O191" s="10"/>
      <c r="P191" s="10"/>
    </row>
    <row r="192" customFormat="false" ht="43.25" hidden="false" customHeight="false" outlineLevel="0" collapsed="false">
      <c r="A192" s="9" t="s">
        <v>939</v>
      </c>
      <c r="B192" s="9" t="s">
        <v>57</v>
      </c>
      <c r="C192" s="9" t="s">
        <v>908</v>
      </c>
      <c r="D192" s="9" t="s">
        <v>928</v>
      </c>
      <c r="E192" s="9" t="s">
        <v>940</v>
      </c>
      <c r="F192" s="9"/>
      <c r="G192" s="9" t="s">
        <v>941</v>
      </c>
      <c r="H192" s="9" t="s">
        <v>931</v>
      </c>
      <c r="I192" s="9" t="s">
        <v>72</v>
      </c>
      <c r="J192" s="9" t="s">
        <v>32</v>
      </c>
      <c r="K192" s="9"/>
      <c r="L192" s="9" t="s">
        <v>932</v>
      </c>
      <c r="M192" s="9"/>
      <c r="N192" s="9" t="s">
        <v>39</v>
      </c>
      <c r="O192" s="10"/>
      <c r="P192" s="10"/>
    </row>
    <row r="193" customFormat="false" ht="74.6" hidden="false" customHeight="false" outlineLevel="0" collapsed="false">
      <c r="A193" s="9" t="s">
        <v>942</v>
      </c>
      <c r="B193" s="9" t="s">
        <v>66</v>
      </c>
      <c r="C193" s="9" t="s">
        <v>943</v>
      </c>
      <c r="D193" s="9" t="s">
        <v>944</v>
      </c>
      <c r="E193" s="9" t="s">
        <v>945</v>
      </c>
      <c r="F193" s="9" t="s">
        <v>946</v>
      </c>
      <c r="G193" s="9"/>
      <c r="H193" s="9" t="s">
        <v>947</v>
      </c>
      <c r="I193" s="9" t="s">
        <v>72</v>
      </c>
      <c r="J193" s="9" t="s">
        <v>33</v>
      </c>
      <c r="K193" s="9" t="s">
        <v>948</v>
      </c>
      <c r="L193" s="9" t="s">
        <v>949</v>
      </c>
      <c r="M193" s="9" t="s">
        <v>950</v>
      </c>
      <c r="N193" s="9" t="s">
        <v>39</v>
      </c>
      <c r="O193" s="10"/>
      <c r="P193" s="10"/>
    </row>
    <row r="194" customFormat="false" ht="74.6" hidden="false" customHeight="false" outlineLevel="0" collapsed="false">
      <c r="A194" s="9" t="s">
        <v>951</v>
      </c>
      <c r="B194" s="9" t="s">
        <v>66</v>
      </c>
      <c r="C194" s="9" t="s">
        <v>943</v>
      </c>
      <c r="D194" s="9" t="s">
        <v>944</v>
      </c>
      <c r="E194" s="9" t="s">
        <v>952</v>
      </c>
      <c r="F194" s="9" t="s">
        <v>953</v>
      </c>
      <c r="G194" s="9"/>
      <c r="H194" s="9" t="s">
        <v>947</v>
      </c>
      <c r="I194" s="9" t="s">
        <v>72</v>
      </c>
      <c r="J194" s="9" t="s">
        <v>32</v>
      </c>
      <c r="K194" s="9"/>
      <c r="L194" s="9" t="s">
        <v>954</v>
      </c>
      <c r="M194" s="9"/>
      <c r="N194" s="9" t="s">
        <v>38</v>
      </c>
      <c r="O194" s="10"/>
      <c r="P194" s="10"/>
    </row>
    <row r="195" customFormat="false" ht="64.15" hidden="false" customHeight="false" outlineLevel="0" collapsed="false">
      <c r="A195" s="9" t="s">
        <v>955</v>
      </c>
      <c r="B195" s="9" t="s">
        <v>66</v>
      </c>
      <c r="C195" s="9" t="s">
        <v>943</v>
      </c>
      <c r="D195" s="9" t="s">
        <v>944</v>
      </c>
      <c r="E195" s="9" t="s">
        <v>956</v>
      </c>
      <c r="F195" s="9" t="s">
        <v>957</v>
      </c>
      <c r="G195" s="9"/>
      <c r="H195" s="9" t="s">
        <v>947</v>
      </c>
      <c r="I195" s="9" t="s">
        <v>72</v>
      </c>
      <c r="J195" s="9" t="s">
        <v>32</v>
      </c>
      <c r="K195" s="9"/>
      <c r="L195" s="9" t="s">
        <v>84</v>
      </c>
      <c r="M195" s="9"/>
      <c r="N195" s="9" t="s">
        <v>39</v>
      </c>
      <c r="O195" s="10"/>
      <c r="P195" s="10"/>
    </row>
    <row r="196" customFormat="false" ht="64.15" hidden="false" customHeight="false" outlineLevel="0" collapsed="false">
      <c r="A196" s="9" t="s">
        <v>958</v>
      </c>
      <c r="B196" s="9" t="s">
        <v>66</v>
      </c>
      <c r="C196" s="9" t="s">
        <v>943</v>
      </c>
      <c r="D196" s="9" t="s">
        <v>944</v>
      </c>
      <c r="E196" s="9" t="s">
        <v>959</v>
      </c>
      <c r="F196" s="9" t="s">
        <v>960</v>
      </c>
      <c r="G196" s="9"/>
      <c r="H196" s="9" t="s">
        <v>947</v>
      </c>
      <c r="I196" s="9" t="s">
        <v>72</v>
      </c>
      <c r="J196" s="9" t="s">
        <v>32</v>
      </c>
      <c r="K196" s="9"/>
      <c r="L196" s="9" t="s">
        <v>947</v>
      </c>
      <c r="M196" s="9"/>
      <c r="N196" s="9" t="s">
        <v>39</v>
      </c>
      <c r="O196" s="10"/>
      <c r="P196" s="10"/>
    </row>
    <row r="197" customFormat="false" ht="74.6" hidden="false" customHeight="false" outlineLevel="0" collapsed="false">
      <c r="A197" s="9" t="s">
        <v>961</v>
      </c>
      <c r="B197" s="9" t="s">
        <v>66</v>
      </c>
      <c r="C197" s="9" t="s">
        <v>943</v>
      </c>
      <c r="D197" s="9" t="s">
        <v>944</v>
      </c>
      <c r="E197" s="9" t="s">
        <v>962</v>
      </c>
      <c r="F197" s="9" t="s">
        <v>963</v>
      </c>
      <c r="G197" s="9"/>
      <c r="H197" s="9" t="s">
        <v>947</v>
      </c>
      <c r="I197" s="9" t="s">
        <v>72</v>
      </c>
      <c r="J197" s="9" t="s">
        <v>32</v>
      </c>
      <c r="K197" s="9"/>
      <c r="L197" s="9" t="s">
        <v>726</v>
      </c>
      <c r="M197" s="9"/>
      <c r="N197" s="9" t="s">
        <v>39</v>
      </c>
      <c r="O197" s="10"/>
      <c r="P197" s="10"/>
    </row>
    <row r="198" customFormat="false" ht="32.8" hidden="false" customHeight="false" outlineLevel="0" collapsed="false">
      <c r="A198" s="9" t="s">
        <v>964</v>
      </c>
      <c r="B198" s="9" t="s">
        <v>66</v>
      </c>
      <c r="C198" s="9" t="s">
        <v>943</v>
      </c>
      <c r="D198" s="9" t="s">
        <v>944</v>
      </c>
      <c r="E198" s="9" t="s">
        <v>965</v>
      </c>
      <c r="F198" s="9" t="s">
        <v>966</v>
      </c>
      <c r="G198" s="9"/>
      <c r="H198" s="9" t="s">
        <v>947</v>
      </c>
      <c r="I198" s="9" t="s">
        <v>72</v>
      </c>
      <c r="J198" s="9" t="s">
        <v>32</v>
      </c>
      <c r="K198" s="9"/>
      <c r="L198" s="9" t="s">
        <v>726</v>
      </c>
      <c r="M198" s="9"/>
      <c r="N198" s="9" t="s">
        <v>39</v>
      </c>
      <c r="O198" s="10"/>
      <c r="P198" s="10"/>
    </row>
  </sheetData>
  <autoFilter ref="A1:P198"/>
  <conditionalFormatting sqref="J2:J198">
    <cfRule type="expression" priority="2" aboveAverage="0" equalAverage="0" bottom="0" percent="0" rank="0" text="" dxfId="5">
      <formula>LEFT(J2,4)="frei"</formula>
    </cfRule>
    <cfRule type="expression" priority="3" aboveAverage="0" equalAverage="0" bottom="0" percent="0" rank="0" text="" dxfId="6">
      <formula>LEFT(J2,5)="ände"</formula>
    </cfRule>
    <cfRule type="expression" priority="4" aboveAverage="0" equalAverage="0" bottom="0" percent="0" rank="0" text="" dxfId="7">
      <formula>LEFT(J2,5)="stre"</formula>
    </cfRule>
    <cfRule type="expression" priority="5" aboveAverage="0" equalAverage="0" bottom="0" percent="0" rank="0" text="" dxfId="8">
      <formula>LEFT(J2,5)="ergä"</formula>
    </cfRule>
  </conditionalFormatting>
  <dataValidations count="1">
    <dataValidation allowBlank="true" errorStyle="stop" operator="between" showDropDown="false" showErrorMessage="false" showInputMessage="false" sqref="O2:O198" type="list">
      <formula1>"umgesetzt,abweichend umgesetzt,offen"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26"/>
    <col collapsed="false" customWidth="true" hidden="false" outlineLevel="0" max="4" min="4" style="0" width="60"/>
    <col collapsed="false" customWidth="true" hidden="false" outlineLevel="0" max="5" min="5" style="0" width="34"/>
    <col collapsed="false" customWidth="true" hidden="false" outlineLevel="0" max="6" min="6" style="0" width="12"/>
    <col collapsed="false" customWidth="true" hidden="false" outlineLevel="0" max="7" min="7" style="0" width="9"/>
    <col collapsed="false" customWidth="true" hidden="false" outlineLevel="0" max="8" min="8" style="0" width="14"/>
  </cols>
  <sheetData>
    <row r="1" customFormat="false" ht="31.5" hidden="false" customHeight="true" outlineLevel="0" collapsed="false">
      <c r="A1" s="8" t="s">
        <v>42</v>
      </c>
      <c r="B1" s="8" t="s">
        <v>967</v>
      </c>
      <c r="C1" s="8" t="s">
        <v>968</v>
      </c>
      <c r="D1" s="8" t="s">
        <v>969</v>
      </c>
      <c r="E1" s="8" t="s">
        <v>970</v>
      </c>
      <c r="F1" s="8" t="s">
        <v>971</v>
      </c>
      <c r="G1" s="8" t="s">
        <v>53</v>
      </c>
      <c r="H1" s="8" t="s">
        <v>54</v>
      </c>
    </row>
    <row r="2" customFormat="false" ht="32.8" hidden="false" customHeight="false" outlineLevel="0" collapsed="false">
      <c r="A2" s="9" t="s">
        <v>216</v>
      </c>
      <c r="B2" s="9" t="s">
        <v>972</v>
      </c>
      <c r="C2" s="9" t="s">
        <v>973</v>
      </c>
      <c r="D2" s="9" t="s">
        <v>974</v>
      </c>
      <c r="E2" s="9" t="s">
        <v>975</v>
      </c>
      <c r="F2" s="9" t="s">
        <v>976</v>
      </c>
      <c r="G2" s="9" t="s">
        <v>39</v>
      </c>
      <c r="H2" s="10"/>
    </row>
    <row r="3" customFormat="false" ht="32.8" hidden="false" customHeight="false" outlineLevel="0" collapsed="false">
      <c r="A3" s="9" t="s">
        <v>216</v>
      </c>
      <c r="B3" s="9" t="s">
        <v>977</v>
      </c>
      <c r="C3" s="9" t="s">
        <v>978</v>
      </c>
      <c r="D3" s="9" t="s">
        <v>979</v>
      </c>
      <c r="E3" s="9" t="s">
        <v>980</v>
      </c>
      <c r="F3" s="9" t="s">
        <v>976</v>
      </c>
      <c r="G3" s="9" t="s">
        <v>39</v>
      </c>
      <c r="H3" s="10"/>
    </row>
    <row r="4" customFormat="false" ht="22.35" hidden="false" customHeight="false" outlineLevel="0" collapsed="false">
      <c r="A4" s="9" t="s">
        <v>216</v>
      </c>
      <c r="B4" s="9" t="s">
        <v>981</v>
      </c>
      <c r="C4" s="9" t="s">
        <v>982</v>
      </c>
      <c r="D4" s="9" t="s">
        <v>983</v>
      </c>
      <c r="E4" s="9" t="s">
        <v>984</v>
      </c>
      <c r="F4" s="9" t="s">
        <v>985</v>
      </c>
      <c r="G4" s="9" t="s">
        <v>39</v>
      </c>
      <c r="H4" s="10"/>
    </row>
    <row r="5" customFormat="false" ht="22.35" hidden="false" customHeight="false" outlineLevel="0" collapsed="false">
      <c r="A5" s="9" t="s">
        <v>216</v>
      </c>
      <c r="B5" s="9" t="s">
        <v>986</v>
      </c>
      <c r="C5" s="9" t="s">
        <v>987</v>
      </c>
      <c r="D5" s="9" t="s">
        <v>988</v>
      </c>
      <c r="E5" s="9" t="s">
        <v>989</v>
      </c>
      <c r="F5" s="9" t="s">
        <v>985</v>
      </c>
      <c r="G5" s="9" t="s">
        <v>39</v>
      </c>
      <c r="H5" s="10"/>
    </row>
    <row r="6" customFormat="false" ht="22.35" hidden="false" customHeight="false" outlineLevel="0" collapsed="false">
      <c r="A6" s="9" t="s">
        <v>66</v>
      </c>
      <c r="B6" s="9" t="s">
        <v>990</v>
      </c>
      <c r="C6" s="9" t="s">
        <v>991</v>
      </c>
      <c r="D6" s="9" t="s">
        <v>992</v>
      </c>
      <c r="E6" s="9" t="s">
        <v>993</v>
      </c>
      <c r="F6" s="9" t="s">
        <v>985</v>
      </c>
      <c r="G6" s="9" t="s">
        <v>39</v>
      </c>
      <c r="H6" s="10"/>
    </row>
    <row r="7" customFormat="false" ht="22.35" hidden="false" customHeight="false" outlineLevel="0" collapsed="false">
      <c r="A7" s="9" t="s">
        <v>66</v>
      </c>
      <c r="B7" s="9" t="s">
        <v>994</v>
      </c>
      <c r="C7" s="9" t="s">
        <v>991</v>
      </c>
      <c r="D7" s="9" t="s">
        <v>995</v>
      </c>
      <c r="E7" s="9" t="s">
        <v>71</v>
      </c>
      <c r="F7" s="9" t="s">
        <v>996</v>
      </c>
      <c r="G7" s="9" t="s">
        <v>39</v>
      </c>
      <c r="H7" s="10"/>
    </row>
    <row r="8" customFormat="false" ht="22.35" hidden="false" customHeight="false" outlineLevel="0" collapsed="false">
      <c r="A8" s="9" t="s">
        <v>147</v>
      </c>
      <c r="B8" s="9" t="s">
        <v>997</v>
      </c>
      <c r="C8" s="9" t="s">
        <v>998</v>
      </c>
      <c r="D8" s="9" t="s">
        <v>999</v>
      </c>
      <c r="E8" s="9" t="s">
        <v>1000</v>
      </c>
      <c r="F8" s="9" t="s">
        <v>996</v>
      </c>
      <c r="G8" s="9" t="s">
        <v>40</v>
      </c>
      <c r="H8" s="10"/>
    </row>
    <row r="9" customFormat="false" ht="22.35" hidden="false" customHeight="false" outlineLevel="0" collapsed="false">
      <c r="A9" s="9" t="s">
        <v>556</v>
      </c>
      <c r="B9" s="9" t="s">
        <v>1001</v>
      </c>
      <c r="C9" s="9" t="s">
        <v>973</v>
      </c>
      <c r="D9" s="9" t="s">
        <v>1002</v>
      </c>
      <c r="E9" s="9" t="s">
        <v>1003</v>
      </c>
      <c r="F9" s="9" t="s">
        <v>985</v>
      </c>
      <c r="G9" s="9" t="s">
        <v>39</v>
      </c>
      <c r="H9" s="10"/>
    </row>
    <row r="10" customFormat="false" ht="22.35" hidden="false" customHeight="false" outlineLevel="0" collapsed="false">
      <c r="A10" s="9" t="s">
        <v>556</v>
      </c>
      <c r="B10" s="9" t="s">
        <v>1004</v>
      </c>
      <c r="C10" s="9" t="s">
        <v>1005</v>
      </c>
      <c r="D10" s="9" t="s">
        <v>1006</v>
      </c>
      <c r="E10" s="9" t="s">
        <v>1007</v>
      </c>
      <c r="F10" s="9" t="s">
        <v>985</v>
      </c>
      <c r="G10" s="9" t="s">
        <v>39</v>
      </c>
      <c r="H10" s="10"/>
    </row>
    <row r="11" customFormat="false" ht="32.8" hidden="false" customHeight="false" outlineLevel="0" collapsed="false">
      <c r="A11" s="9" t="s">
        <v>515</v>
      </c>
      <c r="B11" s="9" t="s">
        <v>1008</v>
      </c>
      <c r="C11" s="9" t="s">
        <v>973</v>
      </c>
      <c r="D11" s="9" t="s">
        <v>1009</v>
      </c>
      <c r="E11" s="9" t="s">
        <v>1010</v>
      </c>
      <c r="F11" s="9" t="s">
        <v>976</v>
      </c>
      <c r="G11" s="9" t="s">
        <v>38</v>
      </c>
      <c r="H11" s="10"/>
    </row>
    <row r="12" customFormat="false" ht="22.35" hidden="false" customHeight="false" outlineLevel="0" collapsed="false">
      <c r="A12" s="9" t="s">
        <v>515</v>
      </c>
      <c r="B12" s="9" t="s">
        <v>1011</v>
      </c>
      <c r="C12" s="9" t="s">
        <v>973</v>
      </c>
      <c r="D12" s="9" t="s">
        <v>1012</v>
      </c>
      <c r="E12" s="9" t="s">
        <v>1013</v>
      </c>
      <c r="F12" s="9" t="s">
        <v>985</v>
      </c>
      <c r="G12" s="9" t="s">
        <v>39</v>
      </c>
      <c r="H12" s="10"/>
    </row>
    <row r="13" customFormat="false" ht="22.35" hidden="false" customHeight="false" outlineLevel="0" collapsed="false">
      <c r="A13" s="9" t="s">
        <v>515</v>
      </c>
      <c r="B13" s="9" t="s">
        <v>1014</v>
      </c>
      <c r="C13" s="9" t="s">
        <v>982</v>
      </c>
      <c r="D13" s="9" t="s">
        <v>1015</v>
      </c>
      <c r="E13" s="9" t="s">
        <v>535</v>
      </c>
      <c r="F13" s="9" t="s">
        <v>985</v>
      </c>
      <c r="G13" s="9" t="s">
        <v>40</v>
      </c>
      <c r="H13" s="10"/>
    </row>
    <row r="14" customFormat="false" ht="22.35" hidden="false" customHeight="false" outlineLevel="0" collapsed="false">
      <c r="A14" s="9" t="s">
        <v>515</v>
      </c>
      <c r="B14" s="9" t="s">
        <v>1016</v>
      </c>
      <c r="C14" s="9" t="s">
        <v>982</v>
      </c>
      <c r="D14" s="9" t="s">
        <v>1017</v>
      </c>
      <c r="E14" s="9" t="s">
        <v>1018</v>
      </c>
      <c r="F14" s="9" t="s">
        <v>976</v>
      </c>
      <c r="G14" s="9" t="s">
        <v>39</v>
      </c>
      <c r="H14" s="10"/>
    </row>
    <row r="15" customFormat="false" ht="22.35" hidden="false" customHeight="false" outlineLevel="0" collapsed="false">
      <c r="A15" s="9" t="s">
        <v>584</v>
      </c>
      <c r="B15" s="9" t="s">
        <v>1019</v>
      </c>
      <c r="C15" s="9" t="s">
        <v>991</v>
      </c>
      <c r="D15" s="9" t="s">
        <v>1020</v>
      </c>
      <c r="E15" s="9" t="s">
        <v>1021</v>
      </c>
      <c r="F15" s="9" t="s">
        <v>985</v>
      </c>
      <c r="G15" s="9" t="s">
        <v>40</v>
      </c>
      <c r="H15" s="10"/>
    </row>
    <row r="16" customFormat="false" ht="22.35" hidden="false" customHeight="false" outlineLevel="0" collapsed="false">
      <c r="A16" s="9" t="s">
        <v>584</v>
      </c>
      <c r="B16" s="9" t="s">
        <v>1022</v>
      </c>
      <c r="C16" s="9" t="s">
        <v>991</v>
      </c>
      <c r="D16" s="9" t="s">
        <v>1023</v>
      </c>
      <c r="E16" s="9" t="s">
        <v>1024</v>
      </c>
      <c r="F16" s="9" t="s">
        <v>985</v>
      </c>
      <c r="G16" s="9" t="s">
        <v>40</v>
      </c>
      <c r="H16" s="10"/>
    </row>
    <row r="17" customFormat="false" ht="22.35" hidden="false" customHeight="false" outlineLevel="0" collapsed="false">
      <c r="A17" s="9" t="s">
        <v>459</v>
      </c>
      <c r="B17" s="9" t="s">
        <v>1025</v>
      </c>
      <c r="C17" s="9" t="s">
        <v>973</v>
      </c>
      <c r="D17" s="9" t="s">
        <v>1026</v>
      </c>
      <c r="E17" s="9" t="s">
        <v>1027</v>
      </c>
      <c r="F17" s="9" t="s">
        <v>976</v>
      </c>
      <c r="G17" s="9" t="s">
        <v>38</v>
      </c>
      <c r="H17" s="10"/>
    </row>
    <row r="18" customFormat="false" ht="22.35" hidden="false" customHeight="false" outlineLevel="0" collapsed="false">
      <c r="A18" s="9" t="s">
        <v>459</v>
      </c>
      <c r="B18" s="9" t="s">
        <v>1028</v>
      </c>
      <c r="C18" s="9" t="s">
        <v>973</v>
      </c>
      <c r="D18" s="9" t="s">
        <v>1029</v>
      </c>
      <c r="E18" s="9" t="s">
        <v>1030</v>
      </c>
      <c r="F18" s="9" t="s">
        <v>985</v>
      </c>
      <c r="G18" s="9" t="s">
        <v>39</v>
      </c>
      <c r="H18" s="10"/>
    </row>
    <row r="19" customFormat="false" ht="22.35" hidden="false" customHeight="false" outlineLevel="0" collapsed="false">
      <c r="A19" s="9" t="s">
        <v>459</v>
      </c>
      <c r="B19" s="9" t="s">
        <v>1031</v>
      </c>
      <c r="C19" s="9" t="s">
        <v>1032</v>
      </c>
      <c r="D19" s="9" t="s">
        <v>1033</v>
      </c>
      <c r="E19" s="9" t="s">
        <v>1034</v>
      </c>
      <c r="F19" s="9" t="s">
        <v>985</v>
      </c>
      <c r="G19" s="9" t="s">
        <v>39</v>
      </c>
      <c r="H19" s="10"/>
    </row>
    <row r="20" customFormat="false" ht="22.35" hidden="false" customHeight="false" outlineLevel="0" collapsed="false">
      <c r="A20" s="9" t="s">
        <v>459</v>
      </c>
      <c r="B20" s="9" t="s">
        <v>1035</v>
      </c>
      <c r="C20" s="9" t="s">
        <v>991</v>
      </c>
      <c r="D20" s="9" t="s">
        <v>1036</v>
      </c>
      <c r="E20" s="9" t="s">
        <v>1037</v>
      </c>
      <c r="F20" s="9" t="s">
        <v>976</v>
      </c>
      <c r="G20" s="9" t="s">
        <v>39</v>
      </c>
      <c r="H20" s="10"/>
    </row>
    <row r="21" customFormat="false" ht="22.35" hidden="false" customHeight="false" outlineLevel="0" collapsed="false">
      <c r="A21" s="9" t="s">
        <v>459</v>
      </c>
      <c r="B21" s="9" t="s">
        <v>1038</v>
      </c>
      <c r="C21" s="9" t="s">
        <v>973</v>
      </c>
      <c r="D21" s="9" t="s">
        <v>1039</v>
      </c>
      <c r="E21" s="9" t="s">
        <v>1040</v>
      </c>
      <c r="F21" s="9" t="s">
        <v>985</v>
      </c>
      <c r="G21" s="9" t="s">
        <v>40</v>
      </c>
      <c r="H21" s="10"/>
    </row>
    <row r="22" customFormat="false" ht="22.35" hidden="false" customHeight="false" outlineLevel="0" collapsed="false">
      <c r="A22" s="9" t="s">
        <v>459</v>
      </c>
      <c r="B22" s="9" t="s">
        <v>1041</v>
      </c>
      <c r="C22" s="9" t="s">
        <v>1042</v>
      </c>
      <c r="D22" s="9" t="s">
        <v>1043</v>
      </c>
      <c r="E22" s="9" t="s">
        <v>1044</v>
      </c>
      <c r="F22" s="9" t="s">
        <v>985</v>
      </c>
      <c r="G22" s="9" t="s">
        <v>39</v>
      </c>
      <c r="H22" s="10"/>
    </row>
    <row r="23" customFormat="false" ht="22.35" hidden="false" customHeight="false" outlineLevel="0" collapsed="false">
      <c r="A23" s="9" t="s">
        <v>374</v>
      </c>
      <c r="B23" s="9" t="s">
        <v>1045</v>
      </c>
      <c r="C23" s="9" t="s">
        <v>991</v>
      </c>
      <c r="D23" s="9" t="s">
        <v>1046</v>
      </c>
      <c r="E23" s="9" t="s">
        <v>1047</v>
      </c>
      <c r="F23" s="9" t="s">
        <v>985</v>
      </c>
      <c r="G23" s="9" t="s">
        <v>39</v>
      </c>
      <c r="H23" s="10"/>
    </row>
    <row r="24" customFormat="false" ht="15" hidden="false" customHeight="false" outlineLevel="0" collapsed="false">
      <c r="A24" s="9" t="s">
        <v>374</v>
      </c>
      <c r="B24" s="9" t="s">
        <v>1048</v>
      </c>
      <c r="C24" s="9" t="s">
        <v>998</v>
      </c>
      <c r="D24" s="9" t="s">
        <v>1049</v>
      </c>
      <c r="E24" s="9" t="s">
        <v>1050</v>
      </c>
      <c r="F24" s="9" t="s">
        <v>996</v>
      </c>
      <c r="G24" s="9" t="s">
        <v>39</v>
      </c>
      <c r="H24" s="10"/>
    </row>
    <row r="25" customFormat="false" ht="22.35" hidden="false" customHeight="false" outlineLevel="0" collapsed="false">
      <c r="A25" s="9" t="s">
        <v>623</v>
      </c>
      <c r="B25" s="9" t="s">
        <v>1051</v>
      </c>
      <c r="C25" s="9" t="s">
        <v>987</v>
      </c>
      <c r="D25" s="9" t="s">
        <v>1052</v>
      </c>
      <c r="E25" s="9" t="s">
        <v>1053</v>
      </c>
      <c r="F25" s="9" t="s">
        <v>985</v>
      </c>
      <c r="G25" s="9" t="s">
        <v>40</v>
      </c>
      <c r="H25" s="10"/>
    </row>
    <row r="26" customFormat="false" ht="22.35" hidden="false" customHeight="false" outlineLevel="0" collapsed="false">
      <c r="A26" s="9" t="s">
        <v>623</v>
      </c>
      <c r="B26" s="9" t="s">
        <v>1054</v>
      </c>
      <c r="C26" s="9" t="s">
        <v>998</v>
      </c>
      <c r="D26" s="9" t="s">
        <v>1055</v>
      </c>
      <c r="E26" s="9" t="s">
        <v>1056</v>
      </c>
      <c r="F26" s="9" t="s">
        <v>976</v>
      </c>
      <c r="G26" s="9" t="s">
        <v>39</v>
      </c>
      <c r="H26" s="10"/>
    </row>
    <row r="27" customFormat="false" ht="22.35" hidden="false" customHeight="false" outlineLevel="0" collapsed="false">
      <c r="A27" s="9" t="s">
        <v>623</v>
      </c>
      <c r="B27" s="9" t="s">
        <v>1057</v>
      </c>
      <c r="C27" s="9" t="s">
        <v>973</v>
      </c>
      <c r="D27" s="9" t="s">
        <v>1058</v>
      </c>
      <c r="E27" s="9" t="s">
        <v>819</v>
      </c>
      <c r="F27" s="9" t="s">
        <v>985</v>
      </c>
      <c r="G27" s="9" t="s">
        <v>40</v>
      </c>
      <c r="H27" s="10"/>
    </row>
    <row r="28" customFormat="false" ht="22.35" hidden="false" customHeight="false" outlineLevel="0" collapsed="false">
      <c r="A28" s="9" t="s">
        <v>623</v>
      </c>
      <c r="B28" s="9" t="s">
        <v>1059</v>
      </c>
      <c r="C28" s="9" t="s">
        <v>1060</v>
      </c>
      <c r="D28" s="9" t="s">
        <v>1061</v>
      </c>
      <c r="E28" s="9" t="s">
        <v>1062</v>
      </c>
      <c r="F28" s="9" t="s">
        <v>976</v>
      </c>
      <c r="G28" s="9" t="s">
        <v>40</v>
      </c>
      <c r="H28" s="10"/>
    </row>
    <row r="29" customFormat="false" ht="22.35" hidden="false" customHeight="false" outlineLevel="0" collapsed="false">
      <c r="A29" s="9" t="s">
        <v>1063</v>
      </c>
      <c r="B29" s="9" t="s">
        <v>1064</v>
      </c>
      <c r="C29" s="9" t="s">
        <v>1065</v>
      </c>
      <c r="D29" s="9" t="s">
        <v>1066</v>
      </c>
      <c r="E29" s="9" t="s">
        <v>1067</v>
      </c>
      <c r="F29" s="9" t="s">
        <v>1068</v>
      </c>
      <c r="G29" s="9" t="s">
        <v>40</v>
      </c>
      <c r="H29" s="10"/>
    </row>
  </sheetData>
  <autoFilter ref="A1:H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2"/>
    <col collapsed="false" customWidth="true" hidden="false" outlineLevel="0" max="3" min="3" style="0" width="60"/>
    <col collapsed="false" customWidth="true" hidden="false" outlineLevel="0" max="4" min="4" style="0" width="30"/>
    <col collapsed="false" customWidth="true" hidden="false" outlineLevel="0" max="5" min="5" style="0" width="9"/>
  </cols>
  <sheetData>
    <row r="1" customFormat="false" ht="31.5" hidden="false" customHeight="true" outlineLevel="0" collapsed="false">
      <c r="A1" s="8" t="s">
        <v>1069</v>
      </c>
      <c r="B1" s="8" t="s">
        <v>45</v>
      </c>
      <c r="C1" s="8" t="s">
        <v>1070</v>
      </c>
      <c r="D1" s="8" t="s">
        <v>29</v>
      </c>
      <c r="E1" s="8" t="s">
        <v>53</v>
      </c>
    </row>
    <row r="2" customFormat="false" ht="15" hidden="false" customHeight="false" outlineLevel="0" collapsed="false">
      <c r="A2" s="9" t="s">
        <v>1071</v>
      </c>
      <c r="B2" s="9" t="s">
        <v>65</v>
      </c>
      <c r="C2" s="9" t="s">
        <v>1072</v>
      </c>
      <c r="D2" s="9" t="s">
        <v>1073</v>
      </c>
      <c r="E2" s="9" t="s">
        <v>39</v>
      </c>
    </row>
    <row r="3" customFormat="false" ht="15" hidden="false" customHeight="false" outlineLevel="0" collapsed="false">
      <c r="A3" s="9" t="s">
        <v>1074</v>
      </c>
      <c r="B3" s="9" t="s">
        <v>215</v>
      </c>
      <c r="C3" s="9" t="s">
        <v>1075</v>
      </c>
      <c r="D3" s="9" t="s">
        <v>1076</v>
      </c>
      <c r="E3" s="9" t="s">
        <v>39</v>
      </c>
    </row>
    <row r="4" customFormat="false" ht="15" hidden="false" customHeight="false" outlineLevel="0" collapsed="false">
      <c r="A4" s="9" t="s">
        <v>1077</v>
      </c>
      <c r="B4" s="9" t="s">
        <v>80</v>
      </c>
      <c r="C4" s="9" t="s">
        <v>86</v>
      </c>
      <c r="D4" s="9" t="s">
        <v>38</v>
      </c>
      <c r="E4" s="9" t="s">
        <v>38</v>
      </c>
    </row>
    <row r="5" customFormat="false" ht="22.35" hidden="false" customHeight="false" outlineLevel="0" collapsed="false">
      <c r="A5" s="9" t="s">
        <v>1078</v>
      </c>
      <c r="B5" s="9" t="s">
        <v>152</v>
      </c>
      <c r="C5" s="9" t="s">
        <v>1079</v>
      </c>
      <c r="D5" s="9" t="s">
        <v>1080</v>
      </c>
      <c r="E5" s="9" t="s">
        <v>38</v>
      </c>
    </row>
    <row r="6" customFormat="false" ht="15" hidden="false" customHeight="false" outlineLevel="0" collapsed="false">
      <c r="A6" s="9" t="s">
        <v>1081</v>
      </c>
      <c r="B6" s="9" t="s">
        <v>386</v>
      </c>
      <c r="C6" s="9" t="s">
        <v>1082</v>
      </c>
      <c r="D6" s="9" t="s">
        <v>38</v>
      </c>
      <c r="E6" s="9" t="s">
        <v>38</v>
      </c>
    </row>
    <row r="7" customFormat="false" ht="15" hidden="false" customHeight="false" outlineLevel="0" collapsed="false">
      <c r="A7" s="9" t="s">
        <v>1083</v>
      </c>
      <c r="B7" s="9" t="s">
        <v>379</v>
      </c>
      <c r="C7" s="9" t="s">
        <v>1084</v>
      </c>
      <c r="D7" s="9" t="s">
        <v>1076</v>
      </c>
      <c r="E7" s="9" t="s">
        <v>39</v>
      </c>
    </row>
    <row r="8" customFormat="false" ht="15" hidden="false" customHeight="false" outlineLevel="0" collapsed="false">
      <c r="A8" s="9" t="s">
        <v>1085</v>
      </c>
      <c r="B8" s="9" t="s">
        <v>109</v>
      </c>
      <c r="C8" s="9" t="s">
        <v>1086</v>
      </c>
      <c r="D8" s="9" t="s">
        <v>38</v>
      </c>
      <c r="E8" s="9" t="s">
        <v>39</v>
      </c>
    </row>
    <row r="9" customFormat="false" ht="15" hidden="false" customHeight="false" outlineLevel="0" collapsed="false">
      <c r="A9" s="9" t="s">
        <v>1087</v>
      </c>
      <c r="B9" s="9" t="s">
        <v>1088</v>
      </c>
      <c r="C9" s="9" t="s">
        <v>1089</v>
      </c>
      <c r="D9" s="9" t="s">
        <v>38</v>
      </c>
      <c r="E9" s="9" t="s">
        <v>39</v>
      </c>
    </row>
    <row r="10" customFormat="false" ht="15" hidden="false" customHeight="false" outlineLevel="0" collapsed="false">
      <c r="A10" s="9" t="s">
        <v>1090</v>
      </c>
      <c r="B10" s="9" t="s">
        <v>251</v>
      </c>
      <c r="C10" s="9" t="s">
        <v>1091</v>
      </c>
      <c r="D10" s="9" t="s">
        <v>1092</v>
      </c>
      <c r="E10" s="9" t="s">
        <v>38</v>
      </c>
    </row>
    <row r="11" customFormat="false" ht="15" hidden="false" customHeight="false" outlineLevel="0" collapsed="false">
      <c r="A11" s="9" t="s">
        <v>1093</v>
      </c>
      <c r="B11" s="9" t="s">
        <v>88</v>
      </c>
      <c r="C11" s="9" t="s">
        <v>1094</v>
      </c>
      <c r="D11" s="9" t="s">
        <v>38</v>
      </c>
      <c r="E11" s="9" t="s">
        <v>38</v>
      </c>
    </row>
    <row r="12" customFormat="false" ht="15" hidden="false" customHeight="false" outlineLevel="0" collapsed="false">
      <c r="A12" s="9" t="s">
        <v>1095</v>
      </c>
      <c r="B12" s="9" t="s">
        <v>1096</v>
      </c>
      <c r="C12" s="9" t="s">
        <v>1097</v>
      </c>
      <c r="D12" s="9" t="s">
        <v>38</v>
      </c>
      <c r="E12" s="9" t="s">
        <v>38</v>
      </c>
    </row>
    <row r="13" customFormat="false" ht="15" hidden="false" customHeight="false" outlineLevel="0" collapsed="false">
      <c r="A13" s="9" t="s">
        <v>1098</v>
      </c>
      <c r="B13" s="9" t="s">
        <v>555</v>
      </c>
      <c r="C13" s="9" t="s">
        <v>1099</v>
      </c>
      <c r="D13" s="9" t="s">
        <v>38</v>
      </c>
      <c r="E13" s="9" t="s">
        <v>38</v>
      </c>
    </row>
    <row r="14" customFormat="false" ht="15" hidden="false" customHeight="false" outlineLevel="0" collapsed="false">
      <c r="A14" s="9" t="s">
        <v>1100</v>
      </c>
      <c r="B14" s="9" t="s">
        <v>1101</v>
      </c>
      <c r="C14" s="9" t="s">
        <v>1102</v>
      </c>
      <c r="D14" s="9" t="s">
        <v>1076</v>
      </c>
      <c r="E14" s="9" t="s">
        <v>38</v>
      </c>
    </row>
    <row r="15" customFormat="false" ht="15" hidden="false" customHeight="false" outlineLevel="0" collapsed="false">
      <c r="A15" s="9" t="s">
        <v>1103</v>
      </c>
      <c r="B15" s="9" t="s">
        <v>484</v>
      </c>
      <c r="C15" s="9" t="s">
        <v>1104</v>
      </c>
      <c r="D15" s="9" t="s">
        <v>1076</v>
      </c>
      <c r="E15" s="9" t="s">
        <v>38</v>
      </c>
    </row>
    <row r="16" customFormat="false" ht="15" hidden="false" customHeight="false" outlineLevel="0" collapsed="false">
      <c r="A16" s="9" t="s">
        <v>1105</v>
      </c>
      <c r="B16" s="9" t="s">
        <v>1106</v>
      </c>
      <c r="C16" s="9" t="s">
        <v>1107</v>
      </c>
      <c r="D16" s="9" t="s">
        <v>38</v>
      </c>
      <c r="E16" s="9" t="s">
        <v>38</v>
      </c>
    </row>
    <row r="17" customFormat="false" ht="15" hidden="false" customHeight="false" outlineLevel="0" collapsed="false">
      <c r="A17" s="9" t="s">
        <v>1108</v>
      </c>
      <c r="B17" s="9" t="s">
        <v>1109</v>
      </c>
      <c r="C17" s="9" t="s">
        <v>1110</v>
      </c>
      <c r="D17" s="9" t="s">
        <v>1076</v>
      </c>
      <c r="E17" s="9" t="s">
        <v>39</v>
      </c>
    </row>
    <row r="18" customFormat="false" ht="15" hidden="false" customHeight="false" outlineLevel="0" collapsed="false">
      <c r="A18" s="9" t="s">
        <v>1111</v>
      </c>
      <c r="B18" s="9" t="s">
        <v>344</v>
      </c>
      <c r="C18" s="9" t="s">
        <v>1112</v>
      </c>
      <c r="D18" s="9" t="s">
        <v>38</v>
      </c>
      <c r="E18" s="9" t="s">
        <v>39</v>
      </c>
    </row>
    <row r="19" customFormat="false" ht="22.35" hidden="false" customHeight="false" outlineLevel="0" collapsed="false">
      <c r="A19" s="9" t="s">
        <v>1113</v>
      </c>
      <c r="B19" s="9" t="s">
        <v>1114</v>
      </c>
      <c r="C19" s="9" t="s">
        <v>1115</v>
      </c>
      <c r="D19" s="9" t="s">
        <v>38</v>
      </c>
      <c r="E19" s="9" t="s">
        <v>39</v>
      </c>
    </row>
    <row r="20" customFormat="false" ht="22.35" hidden="false" customHeight="false" outlineLevel="0" collapsed="false">
      <c r="A20" s="9" t="s">
        <v>1116</v>
      </c>
      <c r="B20" s="9" t="s">
        <v>1117</v>
      </c>
      <c r="C20" s="9" t="s">
        <v>1118</v>
      </c>
      <c r="D20" s="9" t="s">
        <v>38</v>
      </c>
      <c r="E20" s="9" t="s">
        <v>39</v>
      </c>
    </row>
    <row r="21" customFormat="false" ht="22.35" hidden="false" customHeight="false" outlineLevel="0" collapsed="false">
      <c r="A21" s="9" t="s">
        <v>1119</v>
      </c>
      <c r="B21" s="9" t="s">
        <v>1117</v>
      </c>
      <c r="C21" s="9" t="s">
        <v>1120</v>
      </c>
      <c r="D21" s="9" t="s">
        <v>1121</v>
      </c>
      <c r="E21" s="9" t="s">
        <v>38</v>
      </c>
    </row>
    <row r="22" customFormat="false" ht="15" hidden="false" customHeight="false" outlineLevel="0" collapsed="false">
      <c r="A22" s="9" t="s">
        <v>1122</v>
      </c>
      <c r="B22" s="9" t="s">
        <v>306</v>
      </c>
      <c r="C22" s="9" t="s">
        <v>312</v>
      </c>
      <c r="D22" s="9" t="s">
        <v>38</v>
      </c>
      <c r="E22" s="9" t="s">
        <v>39</v>
      </c>
    </row>
    <row r="23" customFormat="false" ht="15" hidden="false" customHeight="false" outlineLevel="0" collapsed="false">
      <c r="A23" s="9" t="s">
        <v>1123</v>
      </c>
      <c r="B23" s="9" t="s">
        <v>297</v>
      </c>
      <c r="C23" s="9" t="s">
        <v>406</v>
      </c>
      <c r="D23" s="9" t="s">
        <v>38</v>
      </c>
      <c r="E23" s="9" t="s">
        <v>39</v>
      </c>
    </row>
    <row r="24" customFormat="false" ht="22.35" hidden="false" customHeight="false" outlineLevel="0" collapsed="false">
      <c r="A24" s="9" t="s">
        <v>1124</v>
      </c>
      <c r="B24" s="9" t="s">
        <v>392</v>
      </c>
      <c r="C24" s="9" t="s">
        <v>1125</v>
      </c>
      <c r="D24" s="9" t="s">
        <v>1126</v>
      </c>
      <c r="E24" s="9" t="s">
        <v>38</v>
      </c>
    </row>
    <row r="25" customFormat="false" ht="22.35" hidden="false" customHeight="false" outlineLevel="0" collapsed="false">
      <c r="A25" s="9" t="s">
        <v>1127</v>
      </c>
      <c r="B25" s="9" t="s">
        <v>1128</v>
      </c>
      <c r="C25" s="9" t="s">
        <v>1129</v>
      </c>
      <c r="D25" s="9" t="s">
        <v>1130</v>
      </c>
      <c r="E25" s="9" t="s">
        <v>39</v>
      </c>
    </row>
    <row r="26" customFormat="false" ht="15" hidden="false" customHeight="false" outlineLevel="0" collapsed="false">
      <c r="A26" s="9" t="s">
        <v>1131</v>
      </c>
      <c r="B26" s="9" t="s">
        <v>1132</v>
      </c>
      <c r="C26" s="9" t="s">
        <v>1133</v>
      </c>
      <c r="D26" s="9" t="s">
        <v>38</v>
      </c>
      <c r="E26" s="9" t="s">
        <v>39</v>
      </c>
    </row>
    <row r="27" customFormat="false" ht="15" hidden="false" customHeight="false" outlineLevel="0" collapsed="false">
      <c r="A27" s="9" t="s">
        <v>1134</v>
      </c>
      <c r="B27" s="9" t="s">
        <v>1135</v>
      </c>
      <c r="C27" s="9" t="s">
        <v>1136</v>
      </c>
      <c r="D27" s="9" t="s">
        <v>1076</v>
      </c>
      <c r="E27" s="9" t="s">
        <v>39</v>
      </c>
    </row>
    <row r="28" customFormat="false" ht="15" hidden="false" customHeight="false" outlineLevel="0" collapsed="false">
      <c r="A28" s="9" t="s">
        <v>1137</v>
      </c>
      <c r="B28" s="9" t="s">
        <v>223</v>
      </c>
      <c r="C28" s="9" t="s">
        <v>1138</v>
      </c>
      <c r="D28" s="9" t="s">
        <v>40</v>
      </c>
      <c r="E28" s="9" t="s">
        <v>40</v>
      </c>
    </row>
    <row r="29" customFormat="false" ht="15" hidden="false" customHeight="false" outlineLevel="0" collapsed="false">
      <c r="A29" s="9" t="s">
        <v>1139</v>
      </c>
      <c r="B29" s="9" t="s">
        <v>337</v>
      </c>
      <c r="C29" s="9" t="s">
        <v>334</v>
      </c>
      <c r="D29" s="9" t="s">
        <v>39</v>
      </c>
      <c r="E29" s="9" t="s">
        <v>39</v>
      </c>
    </row>
  </sheetData>
  <autoFilter ref="A1:E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80"/>
    <col collapsed="false" customWidth="true" hidden="false" outlineLevel="0" max="4" min="4" style="0" width="10"/>
    <col collapsed="false" customWidth="true" hidden="false" outlineLevel="0" max="5" min="5" style="0" width="34"/>
    <col collapsed="false" customWidth="true" hidden="false" outlineLevel="0" max="6" min="6" style="0" width="14"/>
  </cols>
  <sheetData>
    <row r="1" customFormat="false" ht="31.5" hidden="false" customHeight="true" outlineLevel="0" collapsed="false">
      <c r="A1" s="8" t="s">
        <v>43</v>
      </c>
      <c r="B1" s="8" t="s">
        <v>1140</v>
      </c>
      <c r="C1" s="8" t="s">
        <v>1141</v>
      </c>
      <c r="D1" s="8" t="s">
        <v>1142</v>
      </c>
      <c r="E1" s="8" t="s">
        <v>1070</v>
      </c>
      <c r="F1" s="8" t="s">
        <v>54</v>
      </c>
    </row>
    <row r="2" customFormat="false" ht="22.35" hidden="false" customHeight="false" outlineLevel="0" collapsed="false">
      <c r="A2" s="9" t="s">
        <v>58</v>
      </c>
      <c r="B2" s="9" t="s">
        <v>1143</v>
      </c>
      <c r="C2" s="9" t="s">
        <v>1144</v>
      </c>
      <c r="D2" s="9" t="s">
        <v>976</v>
      </c>
      <c r="E2" s="9" t="s">
        <v>1145</v>
      </c>
      <c r="F2" s="10"/>
    </row>
    <row r="3" customFormat="false" ht="22.35" hidden="false" customHeight="false" outlineLevel="0" collapsed="false">
      <c r="A3" s="9" t="s">
        <v>58</v>
      </c>
      <c r="B3" s="9" t="s">
        <v>1146</v>
      </c>
      <c r="C3" s="9" t="s">
        <v>1147</v>
      </c>
      <c r="D3" s="9" t="s">
        <v>985</v>
      </c>
      <c r="E3" s="9" t="s">
        <v>1148</v>
      </c>
      <c r="F3" s="10"/>
    </row>
    <row r="4" customFormat="false" ht="22.35" hidden="false" customHeight="false" outlineLevel="0" collapsed="false">
      <c r="A4" s="9" t="s">
        <v>58</v>
      </c>
      <c r="B4" s="9" t="s">
        <v>1149</v>
      </c>
      <c r="C4" s="9" t="s">
        <v>1150</v>
      </c>
      <c r="D4" s="9" t="s">
        <v>976</v>
      </c>
      <c r="E4" s="9" t="s">
        <v>1151</v>
      </c>
      <c r="F4" s="10"/>
    </row>
    <row r="5" customFormat="false" ht="22.35" hidden="false" customHeight="false" outlineLevel="0" collapsed="false">
      <c r="A5" s="9" t="s">
        <v>58</v>
      </c>
      <c r="B5" s="9" t="s">
        <v>1152</v>
      </c>
      <c r="C5" s="9" t="s">
        <v>1153</v>
      </c>
      <c r="D5" s="9" t="s">
        <v>985</v>
      </c>
      <c r="E5" s="9" t="s">
        <v>1154</v>
      </c>
      <c r="F5" s="10"/>
    </row>
    <row r="6" customFormat="false" ht="15" hidden="false" customHeight="false" outlineLevel="0" collapsed="false">
      <c r="A6" s="9" t="s">
        <v>58</v>
      </c>
      <c r="B6" s="9" t="s">
        <v>1155</v>
      </c>
      <c r="C6" s="9" t="s">
        <v>1156</v>
      </c>
      <c r="D6" s="9" t="s">
        <v>985</v>
      </c>
      <c r="E6" s="9" t="s">
        <v>1157</v>
      </c>
      <c r="F6" s="10"/>
    </row>
    <row r="7" customFormat="false" ht="15" hidden="false" customHeight="false" outlineLevel="0" collapsed="false">
      <c r="A7" s="9" t="s">
        <v>58</v>
      </c>
      <c r="B7" s="9" t="s">
        <v>1158</v>
      </c>
      <c r="C7" s="9" t="s">
        <v>1159</v>
      </c>
      <c r="D7" s="9" t="s">
        <v>976</v>
      </c>
      <c r="E7" s="9" t="s">
        <v>1068</v>
      </c>
      <c r="F7" s="10"/>
    </row>
    <row r="8" customFormat="false" ht="22.35" hidden="false" customHeight="false" outlineLevel="0" collapsed="false">
      <c r="A8" s="9" t="s">
        <v>58</v>
      </c>
      <c r="B8" s="9" t="s">
        <v>1160</v>
      </c>
      <c r="C8" s="9" t="s">
        <v>1161</v>
      </c>
      <c r="D8" s="9" t="s">
        <v>985</v>
      </c>
      <c r="E8" s="9" t="s">
        <v>1162</v>
      </c>
      <c r="F8" s="10"/>
    </row>
    <row r="9" customFormat="false" ht="22.35" hidden="false" customHeight="false" outlineLevel="0" collapsed="false">
      <c r="A9" s="9" t="s">
        <v>698</v>
      </c>
      <c r="B9" s="9" t="s">
        <v>1163</v>
      </c>
      <c r="C9" s="9" t="s">
        <v>1164</v>
      </c>
      <c r="D9" s="9" t="s">
        <v>985</v>
      </c>
      <c r="E9" s="9" t="s">
        <v>1165</v>
      </c>
      <c r="F9" s="10"/>
    </row>
    <row r="10" customFormat="false" ht="32.8" hidden="false" customHeight="false" outlineLevel="0" collapsed="false">
      <c r="A10" s="9" t="s">
        <v>698</v>
      </c>
      <c r="B10" s="9" t="s">
        <v>1166</v>
      </c>
      <c r="C10" s="9" t="s">
        <v>1167</v>
      </c>
      <c r="D10" s="9" t="s">
        <v>976</v>
      </c>
      <c r="E10" s="9" t="s">
        <v>1168</v>
      </c>
      <c r="F10" s="10"/>
    </row>
    <row r="11" customFormat="false" ht="22.35" hidden="false" customHeight="false" outlineLevel="0" collapsed="false">
      <c r="A11" s="9" t="s">
        <v>698</v>
      </c>
      <c r="B11" s="9" t="s">
        <v>1169</v>
      </c>
      <c r="C11" s="9" t="s">
        <v>1170</v>
      </c>
      <c r="D11" s="9" t="s">
        <v>985</v>
      </c>
      <c r="E11" s="9" t="s">
        <v>722</v>
      </c>
      <c r="F11" s="10"/>
    </row>
    <row r="12" customFormat="false" ht="22.35" hidden="false" customHeight="false" outlineLevel="0" collapsed="false">
      <c r="A12" s="9" t="s">
        <v>821</v>
      </c>
      <c r="B12" s="9" t="s">
        <v>1171</v>
      </c>
      <c r="C12" s="9" t="s">
        <v>1172</v>
      </c>
      <c r="D12" s="9" t="s">
        <v>985</v>
      </c>
      <c r="E12" s="9" t="s">
        <v>1173</v>
      </c>
      <c r="F12" s="10"/>
    </row>
    <row r="13" customFormat="false" ht="15" hidden="false" customHeight="false" outlineLevel="0" collapsed="false">
      <c r="A13" s="9" t="s">
        <v>821</v>
      </c>
      <c r="B13" s="9" t="s">
        <v>1174</v>
      </c>
      <c r="C13" s="9" t="s">
        <v>1175</v>
      </c>
      <c r="D13" s="9" t="s">
        <v>985</v>
      </c>
      <c r="E13" s="9" t="s">
        <v>1176</v>
      </c>
      <c r="F13" s="10"/>
    </row>
    <row r="14" customFormat="false" ht="22.35" hidden="false" customHeight="false" outlineLevel="0" collapsed="false">
      <c r="A14" s="9" t="s">
        <v>821</v>
      </c>
      <c r="B14" s="9" t="s">
        <v>1177</v>
      </c>
      <c r="C14" s="9" t="s">
        <v>1178</v>
      </c>
      <c r="D14" s="9" t="s">
        <v>976</v>
      </c>
      <c r="E14" s="9" t="s">
        <v>1179</v>
      </c>
      <c r="F14" s="10"/>
    </row>
    <row r="15" customFormat="false" ht="32.8" hidden="false" customHeight="false" outlineLevel="0" collapsed="false">
      <c r="A15" s="9" t="s">
        <v>1180</v>
      </c>
      <c r="B15" s="9" t="s">
        <v>1181</v>
      </c>
      <c r="C15" s="9" t="s">
        <v>1182</v>
      </c>
      <c r="D15" s="9" t="s">
        <v>985</v>
      </c>
      <c r="E15" s="9" t="s">
        <v>1183</v>
      </c>
      <c r="F15" s="10"/>
    </row>
    <row r="16" customFormat="false" ht="15" hidden="false" customHeight="false" outlineLevel="0" collapsed="false">
      <c r="A16" s="9" t="s">
        <v>1180</v>
      </c>
      <c r="B16" s="9" t="s">
        <v>1184</v>
      </c>
      <c r="C16" s="9" t="s">
        <v>1185</v>
      </c>
      <c r="D16" s="9" t="s">
        <v>996</v>
      </c>
      <c r="E16" s="9" t="s">
        <v>1068</v>
      </c>
      <c r="F16" s="10"/>
    </row>
    <row r="17" customFormat="false" ht="22.35" hidden="false" customHeight="false" outlineLevel="0" collapsed="false">
      <c r="A17" s="9" t="s">
        <v>943</v>
      </c>
      <c r="B17" s="9" t="s">
        <v>1186</v>
      </c>
      <c r="C17" s="9" t="s">
        <v>1187</v>
      </c>
      <c r="D17" s="9" t="s">
        <v>976</v>
      </c>
      <c r="E17" s="9" t="s">
        <v>726</v>
      </c>
      <c r="F17" s="10"/>
    </row>
    <row r="18" customFormat="false" ht="32.8" hidden="false" customHeight="false" outlineLevel="0" collapsed="false">
      <c r="A18" s="9" t="s">
        <v>1188</v>
      </c>
      <c r="B18" s="9" t="s">
        <v>1189</v>
      </c>
      <c r="C18" s="9" t="s">
        <v>1190</v>
      </c>
      <c r="D18" s="9" t="s">
        <v>976</v>
      </c>
      <c r="E18" s="9" t="s">
        <v>1191</v>
      </c>
      <c r="F18" s="10"/>
    </row>
    <row r="19" customFormat="false" ht="32.8" hidden="false" customHeight="false" outlineLevel="0" collapsed="false">
      <c r="A19" s="9" t="s">
        <v>1188</v>
      </c>
      <c r="B19" s="9" t="s">
        <v>1192</v>
      </c>
      <c r="C19" s="9" t="s">
        <v>1193</v>
      </c>
      <c r="D19" s="9" t="s">
        <v>976</v>
      </c>
      <c r="E19" s="9" t="s">
        <v>1194</v>
      </c>
      <c r="F19" s="10"/>
    </row>
  </sheetData>
  <autoFilter ref="A1:F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8"/>
    <col collapsed="false" customWidth="true" hidden="false" outlineLevel="0" max="5" min="4" style="0" width="36"/>
    <col collapsed="false" customWidth="true" hidden="false" outlineLevel="0" max="6" min="6" style="0" width="26"/>
    <col collapsed="false" customWidth="true" hidden="false" outlineLevel="0" max="7" min="7" style="0" width="30"/>
    <col collapsed="false" customWidth="true" hidden="false" outlineLevel="0" max="8" min="8" style="0" width="9"/>
    <col collapsed="false" customWidth="true" hidden="false" outlineLevel="0" max="9" min="9" style="0" width="11"/>
    <col collapsed="false" customWidth="true" hidden="false" outlineLevel="0" max="10" min="10" style="0" width="70"/>
    <col collapsed="false" customWidth="true" hidden="false" outlineLevel="0" max="11" min="11" style="0" width="18"/>
    <col collapsed="false" customWidth="true" hidden="false" outlineLevel="0" max="12" min="12" style="0" width="12"/>
    <col collapsed="false" customWidth="true" hidden="false" outlineLevel="0" max="13" min="13" style="0" width="16"/>
  </cols>
  <sheetData>
    <row r="1" customFormat="false" ht="31.5" hidden="false" customHeight="true" outlineLevel="0" collapsed="false">
      <c r="A1" s="8" t="s">
        <v>41</v>
      </c>
      <c r="B1" s="8" t="s">
        <v>1195</v>
      </c>
      <c r="C1" s="8" t="s">
        <v>1196</v>
      </c>
      <c r="D1" s="8" t="s">
        <v>1197</v>
      </c>
      <c r="E1" s="8" t="s">
        <v>1198</v>
      </c>
      <c r="F1" s="8" t="s">
        <v>1199</v>
      </c>
      <c r="G1" s="8" t="s">
        <v>1200</v>
      </c>
      <c r="H1" s="8" t="s">
        <v>1201</v>
      </c>
      <c r="I1" s="8" t="s">
        <v>29</v>
      </c>
      <c r="J1" s="8" t="s">
        <v>1202</v>
      </c>
      <c r="K1" s="8" t="s">
        <v>1203</v>
      </c>
      <c r="L1" s="8" t="s">
        <v>53</v>
      </c>
      <c r="M1" s="8" t="s">
        <v>54</v>
      </c>
    </row>
    <row r="2" customFormat="false" ht="32.8" hidden="false" customHeight="false" outlineLevel="0" collapsed="false">
      <c r="A2" s="9" t="s">
        <v>1204</v>
      </c>
      <c r="B2" s="9" t="s">
        <v>1205</v>
      </c>
      <c r="C2" s="9" t="s">
        <v>1206</v>
      </c>
      <c r="D2" s="9" t="s">
        <v>1207</v>
      </c>
      <c r="E2" s="9" t="s">
        <v>1208</v>
      </c>
      <c r="F2" s="9" t="s">
        <v>1209</v>
      </c>
      <c r="G2" s="9" t="s">
        <v>1210</v>
      </c>
      <c r="H2" s="9" t="s">
        <v>985</v>
      </c>
      <c r="I2" s="9" t="s">
        <v>32</v>
      </c>
      <c r="J2" s="9" t="s">
        <v>1211</v>
      </c>
      <c r="K2" s="9" t="s">
        <v>1212</v>
      </c>
      <c r="L2" s="9" t="s">
        <v>39</v>
      </c>
      <c r="M2" s="10"/>
    </row>
    <row r="3" customFormat="false" ht="74.6" hidden="false" customHeight="false" outlineLevel="0" collapsed="false">
      <c r="A3" s="9" t="s">
        <v>1204</v>
      </c>
      <c r="B3" s="9" t="s">
        <v>1213</v>
      </c>
      <c r="C3" s="9" t="s">
        <v>1214</v>
      </c>
      <c r="D3" s="9" t="s">
        <v>1215</v>
      </c>
      <c r="E3" s="9" t="s">
        <v>1216</v>
      </c>
      <c r="F3" s="9" t="s">
        <v>1217</v>
      </c>
      <c r="G3" s="9" t="s">
        <v>1218</v>
      </c>
      <c r="H3" s="9" t="s">
        <v>985</v>
      </c>
      <c r="I3" s="9" t="s">
        <v>32</v>
      </c>
      <c r="J3" s="9" t="s">
        <v>1219</v>
      </c>
      <c r="K3" s="9"/>
      <c r="L3" s="9" t="s">
        <v>40</v>
      </c>
      <c r="M3" s="10"/>
    </row>
    <row r="4" customFormat="false" ht="74.6" hidden="false" customHeight="false" outlineLevel="0" collapsed="false">
      <c r="A4" s="9" t="s">
        <v>1204</v>
      </c>
      <c r="B4" s="9" t="s">
        <v>1220</v>
      </c>
      <c r="C4" s="9" t="s">
        <v>1221</v>
      </c>
      <c r="D4" s="9" t="s">
        <v>1222</v>
      </c>
      <c r="E4" s="9" t="s">
        <v>1223</v>
      </c>
      <c r="F4" s="9" t="s">
        <v>1224</v>
      </c>
      <c r="G4" s="9" t="s">
        <v>1210</v>
      </c>
      <c r="H4" s="9" t="s">
        <v>985</v>
      </c>
      <c r="I4" s="9" t="s">
        <v>33</v>
      </c>
      <c r="J4" s="9" t="s">
        <v>1225</v>
      </c>
      <c r="K4" s="9" t="s">
        <v>1226</v>
      </c>
      <c r="L4" s="9" t="s">
        <v>39</v>
      </c>
      <c r="M4" s="10"/>
    </row>
    <row r="5" customFormat="false" ht="32.8" hidden="false" customHeight="false" outlineLevel="0" collapsed="false">
      <c r="A5" s="9" t="s">
        <v>1227</v>
      </c>
      <c r="B5" s="9" t="s">
        <v>1228</v>
      </c>
      <c r="C5" s="9" t="s">
        <v>1229</v>
      </c>
      <c r="D5" s="9" t="s">
        <v>1230</v>
      </c>
      <c r="E5" s="9" t="s">
        <v>1208</v>
      </c>
      <c r="F5" s="9" t="s">
        <v>1231</v>
      </c>
      <c r="G5" s="9" t="s">
        <v>1210</v>
      </c>
      <c r="H5" s="9" t="s">
        <v>985</v>
      </c>
      <c r="I5" s="9" t="s">
        <v>32</v>
      </c>
      <c r="J5" s="9" t="s">
        <v>1232</v>
      </c>
      <c r="K5" s="9"/>
      <c r="L5" s="9" t="s">
        <v>39</v>
      </c>
      <c r="M5" s="10"/>
    </row>
    <row r="6" customFormat="false" ht="22.35" hidden="false" customHeight="false" outlineLevel="0" collapsed="false">
      <c r="A6" s="9" t="s">
        <v>1227</v>
      </c>
      <c r="B6" s="9" t="s">
        <v>1233</v>
      </c>
      <c r="C6" s="9" t="s">
        <v>1234</v>
      </c>
      <c r="D6" s="9" t="s">
        <v>1235</v>
      </c>
      <c r="E6" s="9" t="s">
        <v>1236</v>
      </c>
      <c r="F6" s="9" t="s">
        <v>1237</v>
      </c>
      <c r="G6" s="9" t="s">
        <v>1238</v>
      </c>
      <c r="H6" s="9" t="s">
        <v>976</v>
      </c>
      <c r="I6" s="9" t="s">
        <v>32</v>
      </c>
      <c r="J6" s="9" t="s">
        <v>1239</v>
      </c>
      <c r="K6" s="9"/>
      <c r="L6" s="9" t="s">
        <v>39</v>
      </c>
      <c r="M6" s="10"/>
    </row>
    <row r="7" customFormat="false" ht="64.15" hidden="false" customHeight="false" outlineLevel="0" collapsed="false">
      <c r="A7" s="9" t="s">
        <v>1240</v>
      </c>
      <c r="B7" s="9" t="s">
        <v>1241</v>
      </c>
      <c r="C7" s="9" t="s">
        <v>1242</v>
      </c>
      <c r="D7" s="9" t="s">
        <v>1243</v>
      </c>
      <c r="E7" s="9" t="s">
        <v>1244</v>
      </c>
      <c r="F7" s="9" t="s">
        <v>1245</v>
      </c>
      <c r="G7" s="9" t="s">
        <v>1246</v>
      </c>
      <c r="H7" s="9" t="s">
        <v>976</v>
      </c>
      <c r="I7" s="9" t="s">
        <v>33</v>
      </c>
      <c r="J7" s="9" t="s">
        <v>1247</v>
      </c>
      <c r="K7" s="9"/>
      <c r="L7" s="9" t="s">
        <v>39</v>
      </c>
      <c r="M7" s="10"/>
    </row>
    <row r="8" customFormat="false" ht="22.35" hidden="false" customHeight="false" outlineLevel="0" collapsed="false">
      <c r="A8" s="9" t="s">
        <v>1240</v>
      </c>
      <c r="B8" s="9" t="s">
        <v>1248</v>
      </c>
      <c r="C8" s="9" t="s">
        <v>1249</v>
      </c>
      <c r="D8" s="9" t="s">
        <v>1250</v>
      </c>
      <c r="E8" s="9" t="s">
        <v>1251</v>
      </c>
      <c r="F8" s="9" t="s">
        <v>1252</v>
      </c>
      <c r="G8" s="9" t="s">
        <v>1253</v>
      </c>
      <c r="H8" s="9" t="s">
        <v>976</v>
      </c>
      <c r="I8" s="9" t="s">
        <v>32</v>
      </c>
      <c r="J8" s="9" t="s">
        <v>1254</v>
      </c>
      <c r="K8" s="9"/>
      <c r="L8" s="9" t="s">
        <v>39</v>
      </c>
      <c r="M8" s="10"/>
    </row>
    <row r="9" customFormat="false" ht="64.15" hidden="false" customHeight="false" outlineLevel="0" collapsed="false">
      <c r="A9" s="9" t="s">
        <v>1255</v>
      </c>
      <c r="B9" s="9" t="s">
        <v>1256</v>
      </c>
      <c r="C9" s="9" t="s">
        <v>1257</v>
      </c>
      <c r="D9" s="9" t="s">
        <v>1258</v>
      </c>
      <c r="E9" s="9" t="s">
        <v>1259</v>
      </c>
      <c r="F9" s="9" t="s">
        <v>1260</v>
      </c>
      <c r="G9" s="9" t="s">
        <v>1261</v>
      </c>
      <c r="H9" s="9" t="s">
        <v>976</v>
      </c>
      <c r="I9" s="9" t="s">
        <v>32</v>
      </c>
      <c r="J9" s="9" t="s">
        <v>1262</v>
      </c>
      <c r="K9" s="9"/>
      <c r="L9" s="9" t="s">
        <v>39</v>
      </c>
      <c r="M9" s="10"/>
    </row>
    <row r="10" customFormat="false" ht="32.8" hidden="false" customHeight="false" outlineLevel="0" collapsed="false">
      <c r="A10" s="9" t="s">
        <v>1263</v>
      </c>
      <c r="B10" s="9" t="s">
        <v>1264</v>
      </c>
      <c r="C10" s="9" t="s">
        <v>1265</v>
      </c>
      <c r="D10" s="9" t="s">
        <v>1266</v>
      </c>
      <c r="E10" s="9" t="s">
        <v>1208</v>
      </c>
      <c r="F10" s="9" t="s">
        <v>1267</v>
      </c>
      <c r="G10" s="9" t="s">
        <v>1210</v>
      </c>
      <c r="H10" s="9" t="s">
        <v>1268</v>
      </c>
      <c r="I10" s="9" t="s">
        <v>33</v>
      </c>
      <c r="J10" s="9" t="s">
        <v>1269</v>
      </c>
      <c r="K10" s="9"/>
      <c r="L10" s="9" t="s">
        <v>39</v>
      </c>
      <c r="M10" s="10"/>
    </row>
    <row r="11" customFormat="false" ht="95.5" hidden="false" customHeight="false" outlineLevel="0" collapsed="false">
      <c r="A11" s="9" t="s">
        <v>1270</v>
      </c>
      <c r="B11" s="9" t="s">
        <v>1271</v>
      </c>
      <c r="C11" s="9" t="s">
        <v>1272</v>
      </c>
      <c r="D11" s="9" t="s">
        <v>1273</v>
      </c>
      <c r="E11" s="9" t="s">
        <v>1274</v>
      </c>
      <c r="F11" s="9" t="s">
        <v>1275</v>
      </c>
      <c r="G11" s="9" t="s">
        <v>1276</v>
      </c>
      <c r="H11" s="9" t="s">
        <v>976</v>
      </c>
      <c r="I11" s="9" t="s">
        <v>32</v>
      </c>
      <c r="J11" s="9" t="s">
        <v>1277</v>
      </c>
      <c r="K11" s="9" t="s">
        <v>1278</v>
      </c>
      <c r="L11" s="9" t="s">
        <v>39</v>
      </c>
      <c r="M11" s="10"/>
    </row>
    <row r="12" customFormat="false" ht="43.25" hidden="false" customHeight="false" outlineLevel="0" collapsed="false">
      <c r="A12" s="9" t="s">
        <v>1279</v>
      </c>
      <c r="B12" s="9" t="s">
        <v>1280</v>
      </c>
      <c r="C12" s="9" t="s">
        <v>1281</v>
      </c>
      <c r="D12" s="9" t="s">
        <v>1282</v>
      </c>
      <c r="E12" s="9" t="s">
        <v>1283</v>
      </c>
      <c r="F12" s="9" t="s">
        <v>1284</v>
      </c>
      <c r="G12" s="9" t="s">
        <v>1210</v>
      </c>
      <c r="H12" s="9" t="s">
        <v>985</v>
      </c>
      <c r="I12" s="9" t="s">
        <v>33</v>
      </c>
      <c r="J12" s="9" t="s">
        <v>1285</v>
      </c>
      <c r="K12" s="9"/>
      <c r="L12" s="9" t="s">
        <v>39</v>
      </c>
      <c r="M12" s="10"/>
    </row>
    <row r="13" customFormat="false" ht="32.8" hidden="false" customHeight="false" outlineLevel="0" collapsed="false">
      <c r="A13" s="9" t="s">
        <v>1279</v>
      </c>
      <c r="B13" s="9" t="s">
        <v>1286</v>
      </c>
      <c r="C13" s="9" t="s">
        <v>1287</v>
      </c>
      <c r="D13" s="9" t="s">
        <v>1288</v>
      </c>
      <c r="E13" s="9" t="s">
        <v>1251</v>
      </c>
      <c r="F13" s="9" t="s">
        <v>1289</v>
      </c>
      <c r="G13" s="9" t="s">
        <v>1210</v>
      </c>
      <c r="H13" s="9" t="s">
        <v>985</v>
      </c>
      <c r="I13" s="9" t="s">
        <v>33</v>
      </c>
      <c r="J13" s="9" t="s">
        <v>1290</v>
      </c>
      <c r="K13" s="9" t="s">
        <v>1291</v>
      </c>
      <c r="L13" s="9" t="s">
        <v>39</v>
      </c>
      <c r="M13" s="10"/>
    </row>
    <row r="14" customFormat="false" ht="32.8" hidden="false" customHeight="false" outlineLevel="0" collapsed="false">
      <c r="A14" s="9" t="s">
        <v>1279</v>
      </c>
      <c r="B14" s="9" t="s">
        <v>1292</v>
      </c>
      <c r="C14" s="9" t="s">
        <v>1293</v>
      </c>
      <c r="D14" s="9" t="s">
        <v>1294</v>
      </c>
      <c r="E14" s="9" t="s">
        <v>1208</v>
      </c>
      <c r="F14" s="9" t="s">
        <v>1284</v>
      </c>
      <c r="G14" s="9" t="s">
        <v>1210</v>
      </c>
      <c r="H14" s="9" t="s">
        <v>985</v>
      </c>
      <c r="I14" s="9" t="s">
        <v>32</v>
      </c>
      <c r="J14" s="9" t="s">
        <v>1295</v>
      </c>
      <c r="K14" s="9" t="s">
        <v>1296</v>
      </c>
      <c r="L14" s="9" t="s">
        <v>39</v>
      </c>
      <c r="M14" s="10"/>
    </row>
    <row r="15" customFormat="false" ht="64.15" hidden="false" customHeight="false" outlineLevel="0" collapsed="false">
      <c r="A15" s="9" t="s">
        <v>1297</v>
      </c>
      <c r="B15" s="9" t="s">
        <v>1298</v>
      </c>
      <c r="C15" s="9" t="s">
        <v>1299</v>
      </c>
      <c r="D15" s="9" t="s">
        <v>1300</v>
      </c>
      <c r="E15" s="9" t="s">
        <v>1259</v>
      </c>
      <c r="F15" s="9" t="s">
        <v>1301</v>
      </c>
      <c r="G15" s="9" t="s">
        <v>1210</v>
      </c>
      <c r="H15" s="9" t="s">
        <v>985</v>
      </c>
      <c r="I15" s="9" t="s">
        <v>32</v>
      </c>
      <c r="J15" s="9" t="s">
        <v>1302</v>
      </c>
      <c r="K15" s="9"/>
      <c r="L15" s="9" t="s">
        <v>39</v>
      </c>
      <c r="M15" s="10"/>
    </row>
    <row r="16" customFormat="false" ht="64.15" hidden="false" customHeight="false" outlineLevel="0" collapsed="false">
      <c r="A16" s="9" t="s">
        <v>1297</v>
      </c>
      <c r="B16" s="9" t="s">
        <v>1303</v>
      </c>
      <c r="C16" s="9" t="s">
        <v>1304</v>
      </c>
      <c r="D16" s="9" t="s">
        <v>1305</v>
      </c>
      <c r="E16" s="9" t="s">
        <v>1208</v>
      </c>
      <c r="F16" s="9" t="s">
        <v>1306</v>
      </c>
      <c r="G16" s="9" t="s">
        <v>1210</v>
      </c>
      <c r="H16" s="9" t="s">
        <v>985</v>
      </c>
      <c r="I16" s="9" t="s">
        <v>33</v>
      </c>
      <c r="J16" s="9" t="s">
        <v>1307</v>
      </c>
      <c r="K16" s="9" t="s">
        <v>1308</v>
      </c>
      <c r="L16" s="9" t="s">
        <v>39</v>
      </c>
      <c r="M16" s="10"/>
    </row>
    <row r="17" customFormat="false" ht="95.5" hidden="false" customHeight="false" outlineLevel="0" collapsed="false">
      <c r="A17" s="9" t="s">
        <v>1309</v>
      </c>
      <c r="B17" s="9" t="s">
        <v>1310</v>
      </c>
      <c r="C17" s="9" t="s">
        <v>1311</v>
      </c>
      <c r="D17" s="9" t="s">
        <v>1312</v>
      </c>
      <c r="E17" s="9" t="s">
        <v>1313</v>
      </c>
      <c r="F17" s="9" t="s">
        <v>1314</v>
      </c>
      <c r="G17" s="9" t="s">
        <v>1315</v>
      </c>
      <c r="H17" s="9" t="s">
        <v>976</v>
      </c>
      <c r="I17" s="9" t="s">
        <v>33</v>
      </c>
      <c r="J17" s="9" t="s">
        <v>1316</v>
      </c>
      <c r="K17" s="9" t="s">
        <v>1317</v>
      </c>
      <c r="L17" s="9" t="s">
        <v>40</v>
      </c>
      <c r="M17" s="10"/>
    </row>
    <row r="18" customFormat="false" ht="53.7" hidden="false" customHeight="false" outlineLevel="0" collapsed="false">
      <c r="A18" s="9" t="s">
        <v>1309</v>
      </c>
      <c r="B18" s="9" t="s">
        <v>1318</v>
      </c>
      <c r="C18" s="9" t="s">
        <v>1319</v>
      </c>
      <c r="D18" s="9" t="s">
        <v>1320</v>
      </c>
      <c r="E18" s="9" t="s">
        <v>1321</v>
      </c>
      <c r="F18" s="9" t="s">
        <v>1322</v>
      </c>
      <c r="G18" s="9" t="s">
        <v>1210</v>
      </c>
      <c r="H18" s="9" t="s">
        <v>985</v>
      </c>
      <c r="I18" s="9" t="s">
        <v>33</v>
      </c>
      <c r="J18" s="9" t="s">
        <v>1323</v>
      </c>
      <c r="K18" s="9" t="s">
        <v>1324</v>
      </c>
      <c r="L18" s="9" t="s">
        <v>39</v>
      </c>
      <c r="M18" s="10"/>
    </row>
    <row r="19" customFormat="false" ht="64.15" hidden="false" customHeight="false" outlineLevel="0" collapsed="false">
      <c r="A19" s="9" t="s">
        <v>1309</v>
      </c>
      <c r="B19" s="9" t="s">
        <v>1325</v>
      </c>
      <c r="C19" s="9" t="s">
        <v>1326</v>
      </c>
      <c r="D19" s="9" t="s">
        <v>1327</v>
      </c>
      <c r="E19" s="9" t="s">
        <v>1259</v>
      </c>
      <c r="F19" s="9" t="s">
        <v>354</v>
      </c>
      <c r="G19" s="9" t="s">
        <v>1210</v>
      </c>
      <c r="H19" s="9" t="s">
        <v>985</v>
      </c>
      <c r="I19" s="9" t="s">
        <v>32</v>
      </c>
      <c r="J19" s="9" t="s">
        <v>1328</v>
      </c>
      <c r="K19" s="9"/>
      <c r="L19" s="9" t="s">
        <v>39</v>
      </c>
      <c r="M19" s="10"/>
    </row>
    <row r="20" customFormat="false" ht="74.6" hidden="false" customHeight="false" outlineLevel="0" collapsed="false">
      <c r="A20" s="9" t="s">
        <v>1329</v>
      </c>
      <c r="B20" s="9" t="s">
        <v>1330</v>
      </c>
      <c r="C20" s="9" t="s">
        <v>1331</v>
      </c>
      <c r="D20" s="9" t="s">
        <v>1332</v>
      </c>
      <c r="E20" s="9" t="s">
        <v>1333</v>
      </c>
      <c r="F20" s="9" t="s">
        <v>1334</v>
      </c>
      <c r="G20" s="9" t="s">
        <v>1210</v>
      </c>
      <c r="H20" s="9" t="s">
        <v>985</v>
      </c>
      <c r="I20" s="9" t="s">
        <v>32</v>
      </c>
      <c r="J20" s="9" t="s">
        <v>1335</v>
      </c>
      <c r="K20" s="9" t="s">
        <v>1336</v>
      </c>
      <c r="L20" s="9" t="s">
        <v>39</v>
      </c>
      <c r="M20" s="10"/>
    </row>
    <row r="21" customFormat="false" ht="32.8" hidden="false" customHeight="false" outlineLevel="0" collapsed="false">
      <c r="A21" s="9" t="s">
        <v>1329</v>
      </c>
      <c r="B21" s="9" t="s">
        <v>1337</v>
      </c>
      <c r="C21" s="9" t="s">
        <v>1338</v>
      </c>
      <c r="D21" s="9" t="s">
        <v>1339</v>
      </c>
      <c r="E21" s="9" t="s">
        <v>1208</v>
      </c>
      <c r="F21" s="9" t="s">
        <v>1340</v>
      </c>
      <c r="G21" s="9" t="s">
        <v>1210</v>
      </c>
      <c r="H21" s="9" t="s">
        <v>985</v>
      </c>
      <c r="I21" s="9" t="s">
        <v>32</v>
      </c>
      <c r="J21" s="9" t="s">
        <v>1341</v>
      </c>
      <c r="K21" s="9" t="s">
        <v>1342</v>
      </c>
      <c r="L21" s="9" t="s">
        <v>39</v>
      </c>
      <c r="M21" s="10"/>
    </row>
    <row r="22" customFormat="false" ht="74.6" hidden="false" customHeight="false" outlineLevel="0" collapsed="false">
      <c r="A22" s="9" t="s">
        <v>1343</v>
      </c>
      <c r="B22" s="9" t="s">
        <v>1344</v>
      </c>
      <c r="C22" s="9" t="s">
        <v>1345</v>
      </c>
      <c r="D22" s="9" t="s">
        <v>1346</v>
      </c>
      <c r="E22" s="9" t="s">
        <v>1347</v>
      </c>
      <c r="F22" s="9" t="s">
        <v>1348</v>
      </c>
      <c r="G22" s="9" t="s">
        <v>1210</v>
      </c>
      <c r="H22" s="9" t="s">
        <v>985</v>
      </c>
      <c r="I22" s="9" t="s">
        <v>33</v>
      </c>
      <c r="J22" s="9" t="s">
        <v>1349</v>
      </c>
      <c r="K22" s="9" t="s">
        <v>1350</v>
      </c>
      <c r="L22" s="9" t="s">
        <v>39</v>
      </c>
      <c r="M22" s="10"/>
    </row>
    <row r="23" customFormat="false" ht="43.25" hidden="false" customHeight="false" outlineLevel="0" collapsed="false">
      <c r="A23" s="9" t="s">
        <v>1351</v>
      </c>
      <c r="B23" s="9" t="s">
        <v>1352</v>
      </c>
      <c r="C23" s="9" t="s">
        <v>1353</v>
      </c>
      <c r="D23" s="9" t="s">
        <v>1354</v>
      </c>
      <c r="E23" s="9" t="s">
        <v>1208</v>
      </c>
      <c r="F23" s="9" t="s">
        <v>1355</v>
      </c>
      <c r="G23" s="9" t="s">
        <v>1210</v>
      </c>
      <c r="H23" s="9" t="s">
        <v>985</v>
      </c>
      <c r="I23" s="9" t="s">
        <v>33</v>
      </c>
      <c r="J23" s="9" t="s">
        <v>1356</v>
      </c>
      <c r="K23" s="9" t="s">
        <v>1357</v>
      </c>
      <c r="L23" s="9" t="s">
        <v>38</v>
      </c>
      <c r="M23" s="10"/>
    </row>
    <row r="24" customFormat="false" ht="43.25" hidden="false" customHeight="false" outlineLevel="0" collapsed="false">
      <c r="A24" s="9" t="s">
        <v>1358</v>
      </c>
      <c r="B24" s="9" t="s">
        <v>1359</v>
      </c>
      <c r="C24" s="9" t="s">
        <v>1360</v>
      </c>
      <c r="D24" s="9" t="s">
        <v>1361</v>
      </c>
      <c r="E24" s="9" t="s">
        <v>1362</v>
      </c>
      <c r="F24" s="9" t="s">
        <v>1363</v>
      </c>
      <c r="G24" s="9" t="s">
        <v>1364</v>
      </c>
      <c r="H24" s="9" t="s">
        <v>976</v>
      </c>
      <c r="I24" s="9" t="s">
        <v>33</v>
      </c>
      <c r="J24" s="9" t="s">
        <v>1365</v>
      </c>
      <c r="K24" s="9" t="s">
        <v>1366</v>
      </c>
      <c r="L24" s="9" t="s">
        <v>38</v>
      </c>
      <c r="M24" s="10"/>
    </row>
    <row r="25" customFormat="false" ht="74.6" hidden="false" customHeight="false" outlineLevel="0" collapsed="false">
      <c r="A25" s="9" t="s">
        <v>1367</v>
      </c>
      <c r="B25" s="9" t="s">
        <v>1368</v>
      </c>
      <c r="C25" s="9" t="s">
        <v>1369</v>
      </c>
      <c r="D25" s="9" t="s">
        <v>1370</v>
      </c>
      <c r="E25" s="9" t="s">
        <v>1371</v>
      </c>
      <c r="F25" s="9" t="s">
        <v>1372</v>
      </c>
      <c r="G25" s="9" t="s">
        <v>1210</v>
      </c>
      <c r="H25" s="9" t="s">
        <v>985</v>
      </c>
      <c r="I25" s="9" t="s">
        <v>32</v>
      </c>
      <c r="J25" s="9"/>
      <c r="K25" s="9"/>
      <c r="L25" s="9" t="s">
        <v>39</v>
      </c>
      <c r="M25" s="10"/>
    </row>
    <row r="26" customFormat="false" ht="85.05" hidden="false" customHeight="false" outlineLevel="0" collapsed="false">
      <c r="A26" s="9" t="s">
        <v>1373</v>
      </c>
      <c r="B26" s="9" t="s">
        <v>1374</v>
      </c>
      <c r="C26" s="9" t="s">
        <v>1375</v>
      </c>
      <c r="D26" s="9" t="s">
        <v>1376</v>
      </c>
      <c r="E26" s="9" t="s">
        <v>1377</v>
      </c>
      <c r="F26" s="9" t="s">
        <v>1378</v>
      </c>
      <c r="G26" s="9" t="s">
        <v>1210</v>
      </c>
      <c r="H26" s="9" t="s">
        <v>985</v>
      </c>
      <c r="I26" s="9" t="s">
        <v>33</v>
      </c>
      <c r="J26" s="9" t="s">
        <v>1379</v>
      </c>
      <c r="K26" s="9" t="s">
        <v>1380</v>
      </c>
      <c r="L26" s="9" t="s">
        <v>39</v>
      </c>
      <c r="M26" s="10"/>
    </row>
    <row r="27" customFormat="false" ht="43.25" hidden="false" customHeight="false" outlineLevel="0" collapsed="false">
      <c r="A27" s="9" t="s">
        <v>1381</v>
      </c>
      <c r="B27" s="9" t="s">
        <v>1382</v>
      </c>
      <c r="C27" s="9" t="s">
        <v>1383</v>
      </c>
      <c r="D27" s="9" t="s">
        <v>1384</v>
      </c>
      <c r="E27" s="9" t="s">
        <v>1385</v>
      </c>
      <c r="F27" s="9" t="s">
        <v>1386</v>
      </c>
      <c r="G27" s="9" t="s">
        <v>1210</v>
      </c>
      <c r="H27" s="9" t="s">
        <v>985</v>
      </c>
      <c r="I27" s="9" t="s">
        <v>33</v>
      </c>
      <c r="J27" s="9" t="s">
        <v>1387</v>
      </c>
      <c r="K27" s="9" t="s">
        <v>1388</v>
      </c>
      <c r="L27" s="9" t="s">
        <v>39</v>
      </c>
      <c r="M27" s="10"/>
    </row>
    <row r="28" customFormat="false" ht="95.5" hidden="false" customHeight="false" outlineLevel="0" collapsed="false">
      <c r="A28" s="9" t="s">
        <v>1389</v>
      </c>
      <c r="B28" s="9" t="s">
        <v>1390</v>
      </c>
      <c r="C28" s="9" t="s">
        <v>1391</v>
      </c>
      <c r="D28" s="9" t="s">
        <v>1392</v>
      </c>
      <c r="E28" s="9" t="s">
        <v>1393</v>
      </c>
      <c r="F28" s="9" t="s">
        <v>1394</v>
      </c>
      <c r="G28" s="9" t="s">
        <v>1210</v>
      </c>
      <c r="H28" s="9" t="s">
        <v>985</v>
      </c>
      <c r="I28" s="9" t="s">
        <v>32</v>
      </c>
      <c r="J28" s="9" t="s">
        <v>1395</v>
      </c>
      <c r="K28" s="9"/>
      <c r="L28" s="9" t="s">
        <v>40</v>
      </c>
      <c r="M28" s="10"/>
    </row>
    <row r="29" customFormat="false" ht="74.6" hidden="false" customHeight="false" outlineLevel="0" collapsed="false">
      <c r="A29" s="9" t="s">
        <v>1389</v>
      </c>
      <c r="B29" s="9" t="s">
        <v>1396</v>
      </c>
      <c r="C29" s="9" t="s">
        <v>1397</v>
      </c>
      <c r="D29" s="9" t="s">
        <v>1398</v>
      </c>
      <c r="E29" s="9" t="s">
        <v>1399</v>
      </c>
      <c r="F29" s="9" t="s">
        <v>1400</v>
      </c>
      <c r="G29" s="9" t="s">
        <v>1210</v>
      </c>
      <c r="H29" s="9" t="s">
        <v>985</v>
      </c>
      <c r="I29" s="9" t="s">
        <v>32</v>
      </c>
      <c r="J29" s="9" t="s">
        <v>1401</v>
      </c>
      <c r="K29" s="9"/>
      <c r="L29" s="9" t="s">
        <v>40</v>
      </c>
      <c r="M29" s="10"/>
    </row>
  </sheetData>
  <autoFilter ref="A1:M29"/>
  <conditionalFormatting sqref="I2:I29">
    <cfRule type="expression" priority="2" aboveAverage="0" equalAverage="0" bottom="0" percent="0" rank="0" text="" dxfId="5">
      <formula>LEFT(I2,4)="frei"</formula>
    </cfRule>
    <cfRule type="expression" priority="3" aboveAverage="0" equalAverage="0" bottom="0" percent="0" rank="0" text="" dxfId="6">
      <formula>LEFT(I2,5)="ände"</formula>
    </cfRule>
    <cfRule type="expression" priority="4" aboveAverage="0" equalAverage="0" bottom="0" percent="0" rank="0" text="" dxfId="7">
      <formula>LEFT(I2,5)="stre"</formula>
    </cfRule>
    <cfRule type="expression" priority="5" aboveAverage="0" equalAverage="0" bottom="0" percent="0" rank="0" text="" dxfId="8">
      <formula>LEFT(I2,5)="ergä"</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0"/>
    <col collapsed="false" customWidth="true" hidden="false" outlineLevel="0" max="3" min="3" style="0" width="70"/>
    <col collapsed="false" customWidth="true" hidden="false" outlineLevel="0" max="4" min="4" style="0" width="14"/>
  </cols>
  <sheetData>
    <row r="1" customFormat="false" ht="31.5" hidden="false" customHeight="true" outlineLevel="0" collapsed="false">
      <c r="A1" s="8" t="s">
        <v>1402</v>
      </c>
      <c r="B1" s="8" t="s">
        <v>1199</v>
      </c>
      <c r="C1" s="8" t="s">
        <v>1403</v>
      </c>
      <c r="D1" s="8" t="s">
        <v>54</v>
      </c>
    </row>
    <row r="2" customFormat="false" ht="15" hidden="false" customHeight="false" outlineLevel="0" collapsed="false">
      <c r="A2" s="9" t="s">
        <v>1404</v>
      </c>
      <c r="B2" s="9" t="s">
        <v>1405</v>
      </c>
      <c r="C2" s="9" t="s">
        <v>1406</v>
      </c>
      <c r="D2" s="10"/>
    </row>
    <row r="3" customFormat="false" ht="22.35" hidden="false" customHeight="false" outlineLevel="0" collapsed="false">
      <c r="A3" s="9" t="s">
        <v>1407</v>
      </c>
      <c r="B3" s="9" t="s">
        <v>1408</v>
      </c>
      <c r="C3" s="9" t="s">
        <v>1409</v>
      </c>
      <c r="D3" s="10"/>
    </row>
    <row r="4" customFormat="false" ht="15" hidden="false" customHeight="false" outlineLevel="0" collapsed="false">
      <c r="A4" s="9" t="s">
        <v>1410</v>
      </c>
      <c r="B4" s="9" t="s">
        <v>1411</v>
      </c>
      <c r="C4" s="9" t="s">
        <v>1412</v>
      </c>
      <c r="D4" s="10"/>
    </row>
    <row r="5" customFormat="false" ht="22.35" hidden="false" customHeight="false" outlineLevel="0" collapsed="false">
      <c r="A5" s="9" t="s">
        <v>1413</v>
      </c>
      <c r="B5" s="9" t="s">
        <v>1414</v>
      </c>
      <c r="C5" s="9" t="s">
        <v>1415</v>
      </c>
      <c r="D5" s="10"/>
    </row>
    <row r="6" customFormat="false" ht="15" hidden="false" customHeight="false" outlineLevel="0" collapsed="false">
      <c r="A6" s="9" t="s">
        <v>1416</v>
      </c>
      <c r="B6" s="9" t="s">
        <v>1417</v>
      </c>
      <c r="C6" s="9" t="s">
        <v>1418</v>
      </c>
      <c r="D6" s="10"/>
    </row>
    <row r="7" customFormat="false" ht="15" hidden="false" customHeight="false" outlineLevel="0" collapsed="false">
      <c r="A7" s="9" t="s">
        <v>1419</v>
      </c>
      <c r="B7" s="9" t="s">
        <v>1420</v>
      </c>
      <c r="C7" s="9" t="s">
        <v>1421</v>
      </c>
      <c r="D7" s="10"/>
    </row>
    <row r="8" customFormat="false" ht="15" hidden="false" customHeight="false" outlineLevel="0" collapsed="false">
      <c r="A8" s="9" t="s">
        <v>1422</v>
      </c>
      <c r="B8" s="9" t="s">
        <v>1423</v>
      </c>
      <c r="C8" s="9" t="s">
        <v>1424</v>
      </c>
      <c r="D8" s="10"/>
    </row>
    <row r="9" customFormat="false" ht="15" hidden="false" customHeight="false" outlineLevel="0" collapsed="false">
      <c r="A9" s="9" t="s">
        <v>1425</v>
      </c>
      <c r="B9" s="9" t="s">
        <v>1426</v>
      </c>
      <c r="C9" s="9" t="s">
        <v>1427</v>
      </c>
      <c r="D9" s="10"/>
    </row>
    <row r="10" customFormat="false" ht="15" hidden="false" customHeight="false" outlineLevel="0" collapsed="false">
      <c r="A10" s="9" t="s">
        <v>1428</v>
      </c>
      <c r="B10" s="9" t="s">
        <v>1429</v>
      </c>
      <c r="C10" s="9" t="s">
        <v>1430</v>
      </c>
      <c r="D10" s="10"/>
    </row>
    <row r="11" customFormat="false" ht="22.35" hidden="false" customHeight="false" outlineLevel="0" collapsed="false">
      <c r="A11" s="9" t="s">
        <v>1431</v>
      </c>
      <c r="B11" s="9" t="s">
        <v>1432</v>
      </c>
      <c r="C11" s="9" t="s">
        <v>1433</v>
      </c>
      <c r="D11" s="10"/>
    </row>
    <row r="12" customFormat="false" ht="15" hidden="false" customHeight="false" outlineLevel="0" collapsed="false">
      <c r="A12" s="9" t="s">
        <v>1434</v>
      </c>
      <c r="B12" s="9" t="s">
        <v>1435</v>
      </c>
      <c r="C12" s="9" t="s">
        <v>1436</v>
      </c>
      <c r="D12" s="10"/>
    </row>
    <row r="13" customFormat="false" ht="22.35" hidden="false" customHeight="false" outlineLevel="0" collapsed="false">
      <c r="A13" s="9" t="s">
        <v>1437</v>
      </c>
      <c r="B13" s="9" t="s">
        <v>1438</v>
      </c>
      <c r="C13" s="9" t="s">
        <v>1439</v>
      </c>
      <c r="D13" s="10"/>
    </row>
  </sheetData>
  <autoFilter ref="A1:D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0"/>
    <col collapsed="false" customWidth="true" hidden="false" outlineLevel="0" max="4" min="3" style="0" width="18"/>
  </cols>
  <sheetData>
    <row r="1" customFormat="false" ht="31.5" hidden="false" customHeight="true" outlineLevel="0" collapsed="false">
      <c r="A1" s="8" t="s">
        <v>1440</v>
      </c>
      <c r="B1" s="8" t="s">
        <v>1441</v>
      </c>
    </row>
    <row r="2" customFormat="false" ht="15" hidden="false" customHeight="false" outlineLevel="0" collapsed="false">
      <c r="A2" s="9" t="s">
        <v>1140</v>
      </c>
      <c r="B2" s="9" t="s">
        <v>1442</v>
      </c>
    </row>
    <row r="3" customFormat="false" ht="22.35" hidden="false" customHeight="false" outlineLevel="0" collapsed="false">
      <c r="A3" s="9" t="s">
        <v>1443</v>
      </c>
      <c r="B3" s="9" t="s">
        <v>1444</v>
      </c>
    </row>
    <row r="4" customFormat="false" ht="15" hidden="false" customHeight="false" outlineLevel="0" collapsed="false">
      <c r="A4" s="9" t="s">
        <v>1445</v>
      </c>
      <c r="B4" s="9" t="s">
        <v>1446</v>
      </c>
    </row>
    <row r="5" customFormat="false" ht="15" hidden="false" customHeight="false" outlineLevel="0" collapsed="false">
      <c r="A5" s="9" t="s">
        <v>1447</v>
      </c>
      <c r="B5" s="9" t="s">
        <v>1448</v>
      </c>
    </row>
    <row r="6" customFormat="false" ht="22.35" hidden="false" customHeight="false" outlineLevel="0" collapsed="false">
      <c r="A6" s="9" t="s">
        <v>1449</v>
      </c>
      <c r="B6" s="9" t="s">
        <v>1450</v>
      </c>
    </row>
    <row r="7" customFormat="false" ht="15" hidden="false" customHeight="false" outlineLevel="0" collapsed="false">
      <c r="A7" s="9" t="s">
        <v>1449</v>
      </c>
      <c r="B7" s="9" t="s">
        <v>1451</v>
      </c>
    </row>
    <row r="8" customFormat="false" ht="15" hidden="false" customHeight="false" outlineLevel="0" collapsed="false">
      <c r="A8" s="9" t="s">
        <v>1449</v>
      </c>
      <c r="B8" s="9" t="s">
        <v>1452</v>
      </c>
    </row>
    <row r="10" customFormat="false" ht="15" hidden="false" customHeight="false" outlineLevel="0" collapsed="false">
      <c r="A10" s="7" t="s">
        <v>1453</v>
      </c>
    </row>
    <row r="11" customFormat="false" ht="15" hidden="false" customHeight="false" outlineLevel="0" collapsed="false">
      <c r="A11" s="7"/>
      <c r="B11" s="7" t="s">
        <v>1454</v>
      </c>
      <c r="C11" s="7" t="s">
        <v>1455</v>
      </c>
      <c r="D11" s="7" t="s">
        <v>1456</v>
      </c>
    </row>
    <row r="12" customFormat="false" ht="15" hidden="false" customHeight="false" outlineLevel="0" collapsed="false">
      <c r="A12" s="11" t="s">
        <v>1457</v>
      </c>
      <c r="B12" s="12" t="s">
        <v>996</v>
      </c>
      <c r="C12" s="12" t="s">
        <v>996</v>
      </c>
      <c r="D12" s="13" t="s">
        <v>985</v>
      </c>
    </row>
    <row r="13" customFormat="false" ht="15" hidden="false" customHeight="false" outlineLevel="0" collapsed="false">
      <c r="A13" s="11" t="s">
        <v>1458</v>
      </c>
      <c r="B13" s="12" t="s">
        <v>996</v>
      </c>
      <c r="C13" s="13" t="s">
        <v>985</v>
      </c>
      <c r="D13" s="14" t="s">
        <v>976</v>
      </c>
    </row>
    <row r="14" customFormat="false" ht="15" hidden="false" customHeight="false" outlineLevel="0" collapsed="false">
      <c r="A14" s="11" t="s">
        <v>1459</v>
      </c>
      <c r="B14" s="13" t="s">
        <v>985</v>
      </c>
      <c r="C14" s="14" t="s">
        <v>976</v>
      </c>
      <c r="D14" s="14" t="s">
        <v>976</v>
      </c>
    </row>
  </sheetData>
  <autoFilter ref="A1:B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110"/>
    <col collapsed="false" customWidth="true" hidden="false" outlineLevel="0" max="4" min="4" style="0" width="26"/>
    <col collapsed="false" customWidth="true" hidden="false" outlineLevel="0" max="5" min="5" style="0" width="30"/>
  </cols>
  <sheetData>
    <row r="1" customFormat="false" ht="31.5" hidden="false" customHeight="true" outlineLevel="0" collapsed="false">
      <c r="A1" s="8" t="s">
        <v>41</v>
      </c>
      <c r="B1" s="8" t="s">
        <v>1460</v>
      </c>
      <c r="C1" s="8" t="s">
        <v>1461</v>
      </c>
      <c r="D1" s="8" t="s">
        <v>1462</v>
      </c>
      <c r="E1" s="8" t="s">
        <v>1463</v>
      </c>
    </row>
    <row r="2" customFormat="false" ht="32.8" hidden="false" customHeight="false" outlineLevel="0" collapsed="false">
      <c r="A2" s="9" t="n">
        <v>1</v>
      </c>
      <c r="B2" s="9" t="s">
        <v>1464</v>
      </c>
      <c r="C2" s="9" t="s">
        <v>1465</v>
      </c>
      <c r="D2" s="9" t="s">
        <v>1466</v>
      </c>
      <c r="E2" s="10"/>
    </row>
    <row r="3" customFormat="false" ht="22.35" hidden="false" customHeight="false" outlineLevel="0" collapsed="false">
      <c r="A3" s="9" t="n">
        <v>2</v>
      </c>
      <c r="B3" s="9" t="s">
        <v>1467</v>
      </c>
      <c r="C3" s="9" t="s">
        <v>1468</v>
      </c>
      <c r="D3" s="9" t="s">
        <v>1469</v>
      </c>
      <c r="E3" s="10"/>
    </row>
    <row r="4" customFormat="false" ht="22.35" hidden="false" customHeight="false" outlineLevel="0" collapsed="false">
      <c r="A4" s="9" t="n">
        <v>3</v>
      </c>
      <c r="B4" s="9" t="s">
        <v>1470</v>
      </c>
      <c r="C4" s="9" t="s">
        <v>1471</v>
      </c>
      <c r="D4" s="9" t="s">
        <v>1472</v>
      </c>
      <c r="E4" s="10"/>
    </row>
    <row r="5" customFormat="false" ht="32.8" hidden="false" customHeight="false" outlineLevel="0" collapsed="false">
      <c r="A5" s="9" t="n">
        <v>4</v>
      </c>
      <c r="B5" s="9" t="s">
        <v>1473</v>
      </c>
      <c r="C5" s="9" t="s">
        <v>1474</v>
      </c>
      <c r="D5" s="9" t="s">
        <v>1475</v>
      </c>
      <c r="E5" s="10"/>
    </row>
    <row r="6" customFormat="false" ht="32.8" hidden="false" customHeight="false" outlineLevel="0" collapsed="false">
      <c r="A6" s="9" t="n">
        <v>5</v>
      </c>
      <c r="B6" s="9" t="s">
        <v>1476</v>
      </c>
      <c r="C6" s="9" t="s">
        <v>1477</v>
      </c>
      <c r="D6" s="9" t="s">
        <v>1478</v>
      </c>
      <c r="E6" s="10"/>
    </row>
    <row r="7" customFormat="false" ht="22.35" hidden="false" customHeight="false" outlineLevel="0" collapsed="false">
      <c r="A7" s="9" t="n">
        <v>6</v>
      </c>
      <c r="B7" s="9" t="s">
        <v>1479</v>
      </c>
      <c r="C7" s="9" t="s">
        <v>1480</v>
      </c>
      <c r="D7" s="9" t="s">
        <v>1481</v>
      </c>
      <c r="E7" s="10"/>
    </row>
    <row r="8" customFormat="false" ht="22.35" hidden="false" customHeight="false" outlineLevel="0" collapsed="false">
      <c r="A8" s="9" t="n">
        <v>7</v>
      </c>
      <c r="B8" s="9" t="s">
        <v>1482</v>
      </c>
      <c r="C8" s="9" t="s">
        <v>1483</v>
      </c>
      <c r="D8" s="9" t="s">
        <v>1484</v>
      </c>
      <c r="E8" s="10"/>
    </row>
    <row r="9" customFormat="false" ht="22.35" hidden="false" customHeight="false" outlineLevel="0" collapsed="false">
      <c r="A9" s="9" t="n">
        <v>8</v>
      </c>
      <c r="B9" s="9" t="s">
        <v>1485</v>
      </c>
      <c r="C9" s="9" t="s">
        <v>1486</v>
      </c>
      <c r="D9" s="9" t="s">
        <v>1487</v>
      </c>
      <c r="E9" s="10"/>
    </row>
    <row r="10" customFormat="false" ht="22.35" hidden="false" customHeight="false" outlineLevel="0" collapsed="false">
      <c r="A10" s="9" t="n">
        <v>9</v>
      </c>
      <c r="B10" s="9" t="s">
        <v>1488</v>
      </c>
      <c r="C10" s="9" t="s">
        <v>1489</v>
      </c>
      <c r="D10" s="9" t="s">
        <v>1484</v>
      </c>
      <c r="E10" s="10"/>
    </row>
    <row r="11" customFormat="false" ht="22.35" hidden="false" customHeight="false" outlineLevel="0" collapsed="false">
      <c r="A11" s="9" t="n">
        <v>10</v>
      </c>
      <c r="B11" s="9" t="s">
        <v>1490</v>
      </c>
      <c r="C11" s="9" t="s">
        <v>1491</v>
      </c>
      <c r="D11" s="9" t="s">
        <v>1484</v>
      </c>
      <c r="E11" s="10"/>
    </row>
    <row r="12" customFormat="false" ht="22.35" hidden="false" customHeight="false" outlineLevel="0" collapsed="false">
      <c r="A12" s="9" t="n">
        <v>11</v>
      </c>
      <c r="B12" s="9" t="s">
        <v>1492</v>
      </c>
      <c r="C12" s="9" t="s">
        <v>1493</v>
      </c>
      <c r="D12" s="9" t="s">
        <v>1494</v>
      </c>
      <c r="E12" s="10"/>
    </row>
    <row r="13" customFormat="false" ht="32.8" hidden="false" customHeight="false" outlineLevel="0" collapsed="false">
      <c r="A13" s="9" t="n">
        <v>12</v>
      </c>
      <c r="B13" s="9" t="s">
        <v>1495</v>
      </c>
      <c r="C13" s="9" t="s">
        <v>1496</v>
      </c>
      <c r="D13" s="9" t="s">
        <v>1497</v>
      </c>
      <c r="E13" s="10"/>
    </row>
    <row r="14" customFormat="false" ht="32.8" hidden="false" customHeight="false" outlineLevel="0" collapsed="false">
      <c r="A14" s="9" t="n">
        <v>13</v>
      </c>
      <c r="B14" s="9" t="s">
        <v>1498</v>
      </c>
      <c r="C14" s="9" t="s">
        <v>1499</v>
      </c>
      <c r="D14" s="9" t="s">
        <v>1497</v>
      </c>
      <c r="E14" s="10"/>
    </row>
    <row r="15" customFormat="false" ht="15" hidden="false" customHeight="false" outlineLevel="0" collapsed="false">
      <c r="A15" s="9" t="n">
        <v>14</v>
      </c>
      <c r="B15" s="9" t="s">
        <v>1500</v>
      </c>
      <c r="C15" s="9" t="s">
        <v>1501</v>
      </c>
      <c r="D15" s="9" t="s">
        <v>1502</v>
      </c>
      <c r="E15" s="10"/>
    </row>
    <row r="16" customFormat="false" ht="43.25" hidden="false" customHeight="false" outlineLevel="0" collapsed="false">
      <c r="A16" s="9" t="n">
        <v>15</v>
      </c>
      <c r="B16" s="9" t="s">
        <v>1503</v>
      </c>
      <c r="C16" s="9" t="s">
        <v>1504</v>
      </c>
      <c r="D16" s="9" t="s">
        <v>1505</v>
      </c>
      <c r="E16" s="10"/>
    </row>
  </sheetData>
  <autoFilter ref="A1:E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10"/>
  </cols>
  <sheetData>
    <row r="1" customFormat="false" ht="31.5" hidden="false" customHeight="true" outlineLevel="0" collapsed="false">
      <c r="A1" s="8" t="s">
        <v>1506</v>
      </c>
      <c r="B1" s="8" t="s">
        <v>1507</v>
      </c>
    </row>
    <row r="2" customFormat="false" ht="15" hidden="false" customHeight="false" outlineLevel="0" collapsed="false">
      <c r="A2" s="9" t="s">
        <v>1508</v>
      </c>
      <c r="B2" s="15" t="s">
        <v>1509</v>
      </c>
    </row>
    <row r="3" customFormat="false" ht="15" hidden="false" customHeight="false" outlineLevel="0" collapsed="false">
      <c r="A3" s="9" t="s">
        <v>1510</v>
      </c>
      <c r="B3" s="15" t="s">
        <v>1511</v>
      </c>
    </row>
    <row r="4" customFormat="false" ht="15" hidden="false" customHeight="false" outlineLevel="0" collapsed="false">
      <c r="A4" s="9" t="s">
        <v>1512</v>
      </c>
      <c r="B4" s="15" t="s">
        <v>1513</v>
      </c>
    </row>
    <row r="5" customFormat="false" ht="15" hidden="false" customHeight="false" outlineLevel="0" collapsed="false">
      <c r="A5" s="9" t="s">
        <v>1514</v>
      </c>
      <c r="B5" s="15" t="s">
        <v>1515</v>
      </c>
    </row>
    <row r="6" customFormat="false" ht="15" hidden="false" customHeight="false" outlineLevel="0" collapsed="false">
      <c r="A6" s="9" t="s">
        <v>1516</v>
      </c>
      <c r="B6" s="15" t="s">
        <v>1517</v>
      </c>
    </row>
    <row r="7" customFormat="false" ht="15" hidden="false" customHeight="false" outlineLevel="0" collapsed="false">
      <c r="A7" s="9" t="s">
        <v>1518</v>
      </c>
      <c r="B7" s="15" t="s">
        <v>1519</v>
      </c>
    </row>
    <row r="8" customFormat="false" ht="15" hidden="false" customHeight="false" outlineLevel="0" collapsed="false">
      <c r="A8" s="9" t="s">
        <v>1520</v>
      </c>
      <c r="B8" s="15" t="s">
        <v>1521</v>
      </c>
    </row>
    <row r="9" customFormat="false" ht="15" hidden="false" customHeight="false" outlineLevel="0" collapsed="false">
      <c r="A9" s="9" t="s">
        <v>1522</v>
      </c>
      <c r="B9" s="15" t="s">
        <v>1523</v>
      </c>
    </row>
    <row r="10" customFormat="false" ht="15" hidden="false" customHeight="false" outlineLevel="0" collapsed="false">
      <c r="A10" s="9" t="s">
        <v>1524</v>
      </c>
      <c r="B10" s="15" t="s">
        <v>1525</v>
      </c>
    </row>
    <row r="11" customFormat="false" ht="15" hidden="false" customHeight="false" outlineLevel="0" collapsed="false">
      <c r="A11" s="9" t="s">
        <v>1526</v>
      </c>
      <c r="B11" s="15" t="s">
        <v>1527</v>
      </c>
    </row>
    <row r="12" customFormat="false" ht="15" hidden="false" customHeight="false" outlineLevel="0" collapsed="false">
      <c r="A12" s="9" t="s">
        <v>1528</v>
      </c>
      <c r="B12" s="15" t="s">
        <v>1529</v>
      </c>
    </row>
    <row r="13" customFormat="false" ht="15" hidden="false" customHeight="false" outlineLevel="0" collapsed="false">
      <c r="A13" s="9" t="s">
        <v>1530</v>
      </c>
      <c r="B13" s="15" t="s">
        <v>1531</v>
      </c>
    </row>
    <row r="14" customFormat="false" ht="15" hidden="false" customHeight="false" outlineLevel="0" collapsed="false">
      <c r="A14" s="9" t="s">
        <v>1532</v>
      </c>
      <c r="B14" s="15" t="s">
        <v>1533</v>
      </c>
    </row>
    <row r="15" customFormat="false" ht="15" hidden="false" customHeight="false" outlineLevel="0" collapsed="false">
      <c r="A15" s="9" t="s">
        <v>1534</v>
      </c>
      <c r="B15" s="15" t="s">
        <v>1535</v>
      </c>
    </row>
    <row r="16" customFormat="false" ht="15" hidden="false" customHeight="false" outlineLevel="0" collapsed="false">
      <c r="A16" s="9" t="s">
        <v>1536</v>
      </c>
      <c r="B16" s="15" t="s">
        <v>1537</v>
      </c>
    </row>
    <row r="17" customFormat="false" ht="15" hidden="false" customHeight="false" outlineLevel="0" collapsed="false">
      <c r="A17" s="9" t="s">
        <v>1538</v>
      </c>
      <c r="B17" s="15" t="s">
        <v>1539</v>
      </c>
    </row>
  </sheetData>
  <autoFilter ref="A1:B17"/>
  <hyperlinks>
    <hyperlink ref="B2" r:id="rId1" display="https://vorschriften.bgn-branchenwissen.de/daten/tr/trgs530/5.htm"/>
    <hyperlink ref="B3" r:id="rId2" display="https://www.dinmedia.de/en/standard/din-en-iso-374-6/395160443"/>
    <hyperlink ref="B4" r:id="rId3" display="https://vorschriften.bgn-branchenwissen.de/daten/tr/asr_a3_4/anh3.htm"/>
    <hyperlink ref="B5" r:id="rId4" display="https://lxgesetze.de/arbmedvv/AN"/>
    <hyperlink ref="B6" r:id="rId5" display="https://vorschriften.bgn-branchenwissen.de/daten/gv/sgb7/209.htm"/>
    <hyperlink ref="B7" r:id="rId6" display="https://vorschriften.bgn-branchenwissen.de/daten/asi/a2_15/4.htm"/>
    <hyperlink ref="B8" r:id="rId7" display="https://vorschriften.bgn-branchenwissen.de/daten/asi/a4_40/3.htm"/>
    <hyperlink ref="B9" r:id="rId8" display="https://vorschriften.bgn-branchenwissen.de/daten/tr/trgs555/3.htm"/>
    <hyperlink ref="B10" r:id="rId9" display="https://lxgesetze.de/gefstoffv/14"/>
    <hyperlink ref="B11" r:id="rId10" display="https://www.bgn.de/praevention-arbeitshilfen/unsere-leistungen/arbeitsmedizinische-und-sicherheitstechnische-betreuung/unternehmermodell/Update_DGUV_Vorschrift2_Unternehmermodell.pdf"/>
    <hyperlink ref="B12" r:id="rId11" display="https://presse.dguv.de/medien/fb-etem/documents/rcd_1.pdf"/>
    <hyperlink ref="B13" r:id="rId12" display="https://www.komnet.nrw.de/_sitetools/dialog/24456"/>
    <hyperlink ref="B14" r:id="rId13" display="https://www.komnet.nrw.de/_sitetools/dialog/43317"/>
    <hyperlink ref="B15" r:id="rId14" display="https://dserver.bundestag.de/brd/2025/0735-25.pdf"/>
    <hyperlink ref="B16" r:id="rId15" display="https://www.hwk-cottbus.de/artikel/bundestag-erhoeht-schwellenwert-fuer-sicherheitsbeauftragte-7,0,10305.html"/>
    <hyperlink ref="B17" r:id="rId16" display="https://www.haufe.de/id/beitrag/novellierung-der-gefahrstoffverordnung-fokus-krebserz-11-10a-expositionsverzeichnis-auch-fuer-reproduktionstoxische-stoffe-kat-1a-oder-1b-HI16494225.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2026-10-22T10:56:13Z</dcterms:created>
  <dc:creator>openpyxl</dc:creator>
  <dc:description/>
  <dc:language>en-US</dc:language>
  <cp:lastModifiedBy/>
  <dcterms:modified xsi:type="dcterms:W3CDTF">2026-10-22T10:56:14Z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